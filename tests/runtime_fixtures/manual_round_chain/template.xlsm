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计算器" sheetId="1" r:id="rId1"/>
    <sheet name="优化建议" sheetId="2" r:id="rId2"/>
  </sheets>
  <calcPr calcId="124519" fullCalcOnLoad="1"/>
</workbook>
</file>

<file path=xl/sharedStrings.xml><?xml version="1.0" encoding="utf-8"?>
<sst xmlns="http://schemas.openxmlformats.org/spreadsheetml/2006/main" count="150" uniqueCount="82">
  <si>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</si>
  <si>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</si>
  <si>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</si>
  <si>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</si>
  <si>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</si>
  <si>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</si>
  <si>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</si>
  <si>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</si>
  <si>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</si>
  <si>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</si>
  <si>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</si>
  <si>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</si>
  <si>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</si>
  <si>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</si>
  <si>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</si>
  <si>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</si>
  <si>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</si>
  <si>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</si>
  <si>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</si>
  <si>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</si>
  <si>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</si>
  <si>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</si>
  <si>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</si>
  <si>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</si>
  <si>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</si>
  <si>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</si>
  <si>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</si>
  <si>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</si>
  <si>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</si>
  <si>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</si>
  <si>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</si>
  <si>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</si>
  <si>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</si>
  <si>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</si>
  <si>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</si>
  <si>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</si>
  <si>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</si>
  <si>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</si>
  <si>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</si>
  <si>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</si>
  <si>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</si>
  <si>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</si>
  <si>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</si>
  <si>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</si>
  <si>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</si>
  <si>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</si>
  <si>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</si>
  <si>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</si>
  <si>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</si>
  <si>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</si>
  <si>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</si>
  <si>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</si>
  <si>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</si>
  <si>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</si>
  <si>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</si>
  <si>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</si>
  <si>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</si>
  <si>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</si>
  <si>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</si>
  <si>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</si>
  <si>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</si>
  <si>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</si>
  <si>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</si>
  <si>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</si>
  <si>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</si>
  <si>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</si>
  <si>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</si>
  <si>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</si>
  <si>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</si>
  <si>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</si>
  <si>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</si>
  <si>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</si>
  <si>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</si>
  <si>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</si>
  <si>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</si>
  <si>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</si>
  <si>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</si>
  <si>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</si>
  <si>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</si>
  <si>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</si>
  <si>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</si>
  <si>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请在第一页录入数据后点击测算。</t>
  </si>
</sst>
</file>

<file path=xl/styles.xml><?xml version="1.0" encoding="utf-8"?>
<styleSheet xmlns="http://schemas.openxmlformats.org/spreadsheetml/2006/main">
  <numFmts count="2">
    <numFmt numFmtId="164" formatCode="0.00"/>
    <numFmt numFmtId="165" formatCode="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5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4"/>
  <sheetViews>
    <sheetView tabSelected="1" workbookViewId="0"/>
  </sheetViews>
  <sheetFormatPr defaultRowHeight="15"/>
  <cols>
    <col min="1" max="1" width="4" customWidth="1"/>
    <col min="2" max="2" width="5" customWidth="1"/>
    <col min="3" max="3" width="11.28515625" customWidth="1"/>
    <col min="4" max="5" width="8.7109375" customWidth="1"/>
    <col min="6" max="6" width="8.28515625" customWidth="1"/>
    <col min="7" max="7" width="5" customWidth="1"/>
    <col min="8" max="8" width="11.28515625" customWidth="1"/>
    <col min="9" max="10" width="8.7109375" customWidth="1"/>
    <col min="11" max="11" width="8.28515625" customWidth="1"/>
    <col min="12" max="12" width="5" customWidth="1"/>
    <col min="13" max="13" width="11.28515625" customWidth="1"/>
    <col min="14" max="15" width="8.7109375" customWidth="1"/>
    <col min="16" max="16" width="8.28515625" customWidth="1"/>
    <col min="17" max="17" width="5" customWidth="1"/>
    <col min="18" max="18" width="11.28515625" customWidth="1"/>
    <col min="19" max="20" width="8.7109375" customWidth="1"/>
    <col min="21" max="21" width="8.28515625" customWidth="1"/>
    <col min="22" max="22" width="5" customWidth="1"/>
    <col min="23" max="23" width="11.28515625" customWidth="1"/>
    <col min="24" max="25" width="8.7109375" customWidth="1"/>
    <col min="26" max="26" width="8.28515625" customWidth="1"/>
    <col min="27" max="27" width="5" customWidth="1"/>
    <col min="28" max="28" width="11.28515625" customWidth="1"/>
    <col min="29" max="30" width="8.7109375" customWidth="1"/>
    <col min="31" max="31" width="8.28515625" customWidth="1"/>
    <col min="32" max="32" width="13.7109375" customWidth="1"/>
    <col min="33" max="33" width="19.42578125" customWidth="1"/>
    <col min="34" max="34" width="13.7109375" customWidth="1"/>
  </cols>
  <sheetData>
    <row r="1" spans="1:34" ht="31.95" customHeight="1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" customHeight="1">
      <c r="B2" s="5" t="s">
        <v>12</v>
      </c>
      <c r="C2" s="6">
        <v>0</v>
      </c>
      <c r="D2" s="5">
        <f>C2*47</f>
        <v>0</v>
      </c>
      <c r="E2" s="5">
        <f>D2-O12</f>
        <v>0</v>
      </c>
      <c r="F2" s="5"/>
      <c r="G2" s="5" t="s">
        <v>13</v>
      </c>
      <c r="H2" s="6">
        <v>0</v>
      </c>
      <c r="I2" s="5">
        <f>H2*47</f>
        <v>0</v>
      </c>
      <c r="J2" s="5">
        <f>I2-O12</f>
        <v>0</v>
      </c>
      <c r="K2" s="5"/>
      <c r="L2" s="5" t="s">
        <v>14</v>
      </c>
      <c r="M2" s="6">
        <v>0</v>
      </c>
      <c r="N2" s="5">
        <f>M2*47</f>
        <v>0</v>
      </c>
      <c r="O2" s="5">
        <f>N2-O12</f>
        <v>0</v>
      </c>
      <c r="P2" s="5"/>
      <c r="Q2" s="5" t="s">
        <v>15</v>
      </c>
      <c r="R2" s="6">
        <v>0</v>
      </c>
      <c r="S2" s="5">
        <f>R2*47</f>
        <v>0</v>
      </c>
      <c r="T2" s="5">
        <f>S2-O12</f>
        <v>0</v>
      </c>
      <c r="U2" s="5"/>
      <c r="V2" s="5" t="s">
        <v>16</v>
      </c>
      <c r="W2" s="6">
        <v>0</v>
      </c>
      <c r="X2" s="5">
        <f>W2*47</f>
        <v>0</v>
      </c>
      <c r="Y2" s="5">
        <f>X2-O12</f>
        <v>0</v>
      </c>
      <c r="Z2" s="5"/>
      <c r="AA2" s="5" t="s">
        <v>17</v>
      </c>
      <c r="AB2" s="6">
        <v>0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" customHeight="1">
      <c r="B3" s="5" t="s">
        <v>18</v>
      </c>
      <c r="C3" s="6">
        <v>0</v>
      </c>
      <c r="D3" s="5">
        <f>C3*47</f>
        <v>0</v>
      </c>
      <c r="E3" s="5">
        <f>D3-O12</f>
        <v>0</v>
      </c>
      <c r="F3" s="5"/>
      <c r="G3" s="5" t="s">
        <v>19</v>
      </c>
      <c r="H3" s="6">
        <v>0</v>
      </c>
      <c r="I3" s="5">
        <f>H3*47</f>
        <v>0</v>
      </c>
      <c r="J3" s="5">
        <f>I3-O12</f>
        <v>0</v>
      </c>
      <c r="K3" s="5"/>
      <c r="L3" s="5" t="s">
        <v>20</v>
      </c>
      <c r="M3" s="6">
        <v>0</v>
      </c>
      <c r="N3" s="5">
        <f>M3*47</f>
        <v>0</v>
      </c>
      <c r="O3" s="5">
        <f>N3-O12</f>
        <v>0</v>
      </c>
      <c r="P3" s="5"/>
      <c r="Q3" s="5" t="s">
        <v>21</v>
      </c>
      <c r="R3" s="6">
        <v>0</v>
      </c>
      <c r="S3" s="5">
        <f>R3*47</f>
        <v>0</v>
      </c>
      <c r="T3" s="5">
        <f>S3-O12</f>
        <v>0</v>
      </c>
      <c r="U3" s="5"/>
      <c r="V3" s="5" t="s">
        <v>22</v>
      </c>
      <c r="W3" s="6">
        <v>0</v>
      </c>
      <c r="X3" s="5">
        <f>W3*47</f>
        <v>0</v>
      </c>
      <c r="Y3" s="5">
        <f>X3-O12</f>
        <v>0</v>
      </c>
      <c r="Z3" s="5"/>
      <c r="AA3" s="5" t="s">
        <v>23</v>
      </c>
      <c r="AB3" s="6">
        <v>0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" customHeight="1">
      <c r="B4" s="5" t="s">
        <v>25</v>
      </c>
      <c r="C4" s="6">
        <v>0</v>
      </c>
      <c r="D4" s="5">
        <f>C4*47</f>
        <v>0</v>
      </c>
      <c r="E4" s="5">
        <f>D4-O12</f>
        <v>0</v>
      </c>
      <c r="F4" s="5"/>
      <c r="G4" s="5" t="s">
        <v>26</v>
      </c>
      <c r="H4" s="6">
        <v>0</v>
      </c>
      <c r="I4" s="5">
        <f>H4*47</f>
        <v>0</v>
      </c>
      <c r="J4" s="5">
        <f>I4-O12</f>
        <v>0</v>
      </c>
      <c r="K4" s="5"/>
      <c r="L4" s="5" t="s">
        <v>27</v>
      </c>
      <c r="M4" s="6">
        <v>0</v>
      </c>
      <c r="N4" s="5">
        <f>M4*47</f>
        <v>0</v>
      </c>
      <c r="O4" s="5">
        <f>N4-O12</f>
        <v>0</v>
      </c>
      <c r="P4" s="5"/>
      <c r="Q4" s="5" t="s">
        <v>28</v>
      </c>
      <c r="R4" s="6">
        <v>0</v>
      </c>
      <c r="S4" s="5">
        <f>R4*47</f>
        <v>0</v>
      </c>
      <c r="T4" s="5">
        <f>S4-O12</f>
        <v>0</v>
      </c>
      <c r="U4" s="5"/>
      <c r="V4" s="5" t="s">
        <v>29</v>
      </c>
      <c r="W4" s="6">
        <v>0</v>
      </c>
      <c r="X4" s="5">
        <f>W4*47</f>
        <v>0</v>
      </c>
      <c r="Y4" s="5">
        <f>X4-O12</f>
        <v>0</v>
      </c>
      <c r="Z4" s="5"/>
      <c r="AA4" s="5" t="s">
        <v>30</v>
      </c>
      <c r="AB4" s="6">
        <v>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" customHeight="1">
      <c r="B5" s="5" t="s">
        <v>31</v>
      </c>
      <c r="C5" s="6">
        <v>0</v>
      </c>
      <c r="D5" s="5">
        <f>C5*47</f>
        <v>0</v>
      </c>
      <c r="E5" s="5">
        <f>D5-O12</f>
        <v>0</v>
      </c>
      <c r="F5" s="5"/>
      <c r="G5" s="5" t="s">
        <v>32</v>
      </c>
      <c r="H5" s="6">
        <v>0</v>
      </c>
      <c r="I5" s="5">
        <f>H5*47</f>
        <v>0</v>
      </c>
      <c r="J5" s="5">
        <f>I5-O12</f>
        <v>0</v>
      </c>
      <c r="K5" s="5"/>
      <c r="L5" s="5" t="s">
        <v>33</v>
      </c>
      <c r="M5" s="6">
        <v>0</v>
      </c>
      <c r="N5" s="5">
        <f>M5*47</f>
        <v>0</v>
      </c>
      <c r="O5" s="5">
        <f>N5-O12</f>
        <v>0</v>
      </c>
      <c r="P5" s="5"/>
      <c r="Q5" s="5" t="s">
        <v>34</v>
      </c>
      <c r="R5" s="6">
        <v>0</v>
      </c>
      <c r="S5" s="5">
        <f>R5*47</f>
        <v>0</v>
      </c>
      <c r="T5" s="5">
        <f>S5-O12</f>
        <v>0</v>
      </c>
      <c r="U5" s="5"/>
      <c r="V5" s="5" t="s">
        <v>35</v>
      </c>
      <c r="W5" s="6">
        <v>0</v>
      </c>
      <c r="X5" s="5">
        <f>W5*47</f>
        <v>0</v>
      </c>
      <c r="Y5" s="5">
        <f>X5-O12</f>
        <v>0</v>
      </c>
      <c r="Z5" s="5"/>
      <c r="AA5" s="5" t="s">
        <v>36</v>
      </c>
      <c r="AB5" s="6">
        <v>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5" customHeight="1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" customHeight="1">
      <c r="B7" s="5" t="s">
        <v>45</v>
      </c>
      <c r="C7" s="6">
        <v>0</v>
      </c>
      <c r="D7" s="5">
        <f>C7*47</f>
        <v>0</v>
      </c>
      <c r="E7" s="5">
        <f>D7-O12</f>
        <v>0</v>
      </c>
      <c r="F7" s="5"/>
      <c r="G7" s="5" t="s">
        <v>46</v>
      </c>
      <c r="H7" s="6">
        <v>0</v>
      </c>
      <c r="I7" s="5">
        <f>H7*47</f>
        <v>0</v>
      </c>
      <c r="J7" s="5">
        <f>I7-O12</f>
        <v>0</v>
      </c>
      <c r="K7" s="5"/>
      <c r="L7" s="5" t="s">
        <v>47</v>
      </c>
      <c r="M7" s="6">
        <v>0</v>
      </c>
      <c r="N7" s="5">
        <f>M7*47</f>
        <v>0</v>
      </c>
      <c r="O7" s="5">
        <f>N7-O12</f>
        <v>0</v>
      </c>
      <c r="P7" s="5"/>
      <c r="Q7" s="5" t="s">
        <v>48</v>
      </c>
      <c r="R7" s="6">
        <v>0</v>
      </c>
      <c r="S7" s="5">
        <f>R7*47</f>
        <v>0</v>
      </c>
      <c r="T7" s="5">
        <f>S7-O12</f>
        <v>0</v>
      </c>
      <c r="U7" s="5"/>
      <c r="V7" s="5" t="s">
        <v>49</v>
      </c>
      <c r="W7" s="6">
        <v>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" customHeight="1">
      <c r="B8" s="5" t="s">
        <v>52</v>
      </c>
      <c r="C8" s="6">
        <v>0</v>
      </c>
      <c r="D8" s="5">
        <f>C8*47</f>
        <v>0</v>
      </c>
      <c r="E8" s="5">
        <f>D8-O12</f>
        <v>0</v>
      </c>
      <c r="F8" s="5"/>
      <c r="G8" s="5" t="s">
        <v>53</v>
      </c>
      <c r="H8" s="6">
        <v>0</v>
      </c>
      <c r="I8" s="5">
        <f>H8*47</f>
        <v>0</v>
      </c>
      <c r="J8" s="5">
        <f>I8-O12</f>
        <v>0</v>
      </c>
      <c r="K8" s="5"/>
      <c r="L8" s="5" t="s">
        <v>54</v>
      </c>
      <c r="M8" s="6">
        <v>0</v>
      </c>
      <c r="N8" s="5">
        <f>M8*47</f>
        <v>0</v>
      </c>
      <c r="O8" s="5">
        <f>N8-O12</f>
        <v>0</v>
      </c>
      <c r="P8" s="5"/>
      <c r="Q8" s="5" t="s">
        <v>55</v>
      </c>
      <c r="R8" s="6">
        <v>0</v>
      </c>
      <c r="S8" s="5">
        <f>R8*47</f>
        <v>0</v>
      </c>
      <c r="T8" s="5">
        <f>S8-O12</f>
        <v>0</v>
      </c>
      <c r="U8" s="5"/>
      <c r="V8" s="5" t="s">
        <v>56</v>
      </c>
      <c r="W8" s="6">
        <v>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" customHeight="1">
      <c r="B9" s="5" t="s">
        <v>58</v>
      </c>
      <c r="C9" s="6">
        <v>0</v>
      </c>
      <c r="D9" s="5">
        <f>C9*47</f>
        <v>0</v>
      </c>
      <c r="E9" s="5">
        <f>D9-O12</f>
        <v>0</v>
      </c>
      <c r="F9" s="5"/>
      <c r="G9" s="5" t="s">
        <v>59</v>
      </c>
      <c r="H9" s="6">
        <v>0</v>
      </c>
      <c r="I9" s="5">
        <f>H9*47</f>
        <v>0</v>
      </c>
      <c r="J9" s="5">
        <f>I9-O12</f>
        <v>0</v>
      </c>
      <c r="K9" s="5"/>
      <c r="L9" s="5" t="s">
        <v>60</v>
      </c>
      <c r="M9" s="6">
        <v>0</v>
      </c>
      <c r="N9" s="5">
        <f>M9*47</f>
        <v>0</v>
      </c>
      <c r="O9" s="5">
        <f>N9-O12</f>
        <v>0</v>
      </c>
      <c r="P9" s="5"/>
      <c r="Q9" s="5" t="s">
        <v>61</v>
      </c>
      <c r="R9" s="6">
        <v>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0</v>
      </c>
      <c r="AC9" s="5">
        <f>AB9*47</f>
        <v>0</v>
      </c>
      <c r="AD9" s="5">
        <f>AC9-O12</f>
        <v>0</v>
      </c>
      <c r="AE9" s="5"/>
    </row>
    <row r="10" spans="1:34" ht="34.95" customHeight="1">
      <c r="B10" s="5" t="s">
        <v>64</v>
      </c>
      <c r="C10" s="6">
        <v>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0</v>
      </c>
      <c r="AC10" s="5">
        <f>AB10*47</f>
        <v>0</v>
      </c>
      <c r="AD10" s="5">
        <f>AC10-O12</f>
        <v>0</v>
      </c>
      <c r="AE10" s="5"/>
    </row>
    <row r="11" spans="1:34" ht="30" customHeight="1">
      <c r="B11" s="5" t="s">
        <v>70</v>
      </c>
      <c r="C11" s="6">
        <v>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>
      <c r="AG13" s="10" t="s">
        <v>77</v>
      </c>
    </row>
    <row r="14" spans="1:34" ht="28.05" customHeight="1">
      <c r="AG14" s="10" t="s">
        <v>78</v>
      </c>
      <c r="AH14" s="13" t="s">
        <v>79</v>
      </c>
    </row>
  </sheetData>
  <conditionalFormatting sqref="E2:E5">
    <cfRule type="cellIs" dxfId="0" priority="1" operator="greaterThan">
      <formula>0</formula>
    </cfRule>
  </conditionalFormatting>
  <conditionalFormatting sqref="J2:J5">
    <cfRule type="cellIs" dxfId="0" priority="2" operator="greaterThan">
      <formula>0</formula>
    </cfRule>
  </conditionalFormatting>
  <conditionalFormatting sqref="O2:O5">
    <cfRule type="cellIs" dxfId="0" priority="3" operator="greaterThan">
      <formula>0</formula>
    </cfRule>
  </conditionalFormatting>
  <conditionalFormatting sqref="T2:T5">
    <cfRule type="cellIs" dxfId="0" priority="4" operator="greaterThan">
      <formula>0</formula>
    </cfRule>
  </conditionalFormatting>
  <conditionalFormatting sqref="Y2:Y5">
    <cfRule type="cellIs" dxfId="0" priority="5" operator="greaterThan">
      <formula>0</formula>
    </cfRule>
  </conditionalFormatting>
  <conditionalFormatting sqref="AD2:AD5">
    <cfRule type="cellIs" dxfId="0" priority="6" operator="greaterThan">
      <formula>0</formula>
    </cfRule>
  </conditionalFormatting>
  <conditionalFormatting sqref="E7:E11">
    <cfRule type="cellIs" dxfId="0" priority="7" operator="greaterThan">
      <formula>0</formula>
    </cfRule>
  </conditionalFormatting>
  <conditionalFormatting sqref="J7:J10">
    <cfRule type="cellIs" dxfId="0" priority="8" operator="greaterThan">
      <formula>0</formula>
    </cfRule>
  </conditionalFormatting>
  <conditionalFormatting sqref="O7:O10">
    <cfRule type="cellIs" dxfId="0" priority="9" operator="greaterThan">
      <formula>0</formula>
    </cfRule>
  </conditionalFormatting>
  <conditionalFormatting sqref="T7:T10">
    <cfRule type="cellIs" dxfId="0" priority="10" operator="greaterThan">
      <formula>0</formula>
    </cfRule>
  </conditionalFormatting>
  <conditionalFormatting sqref="Y7:Y10">
    <cfRule type="cellIs" dxfId="0" priority="11" operator="greaterThan">
      <formula>0</formula>
    </cfRule>
  </conditionalFormatting>
  <conditionalFormatting sqref="AD7:AD10">
    <cfRule type="cellIs" dxfId="0" priority="12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3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  <col min="9" max="9" width="18.7109375" customWidth="1"/>
    <col min="10" max="10" width="14.7109375" customWidth="1"/>
    <col min="11" max="13" width="18.7109375" customWidth="1"/>
  </cols>
  <sheetData>
    <row r="1" spans="1:8">
      <c r="A1" s="14" t="s">
        <v>80</v>
      </c>
    </row>
    <row r="2" spans="1:8">
      <c r="A2" s="15" t="s">
        <v>81</v>
      </c>
      <c r="B2" s="15"/>
      <c r="C2" s="15"/>
      <c r="D2" s="15"/>
      <c r="E2" s="15"/>
      <c r="F2" s="15"/>
      <c r="G2" s="15"/>
      <c r="H2" s="15"/>
    </row>
    <row r="3" spans="1:8">
      <c r="A3" s="15"/>
      <c r="B3" s="15"/>
      <c r="C3" s="15"/>
      <c r="D3" s="15"/>
      <c r="E3" s="15"/>
      <c r="F3" s="15"/>
      <c r="G3" s="15"/>
      <c r="H3" s="15"/>
    </row>
  </sheetData>
  <mergeCells count="1">
    <mergeCell ref="A2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计算器</vt:lpstr>
      <vt:lpstr>优化建议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2026-04-21T13:37:51Z</dcterms:created>
  <dcterms:modified xsi:type="dcterms:W3CDTF">2026-04-21T13:37:51Z</dcterms:modified>
</cp:coreProperties>
</file>