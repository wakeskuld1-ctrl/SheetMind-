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188" windowHeight="9060"/>
  </bookViews>
  <sheets>
    <sheet name="计算器" sheetId="3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<sst xmlns="http://schemas.openxmlformats.org/spreadsheetml/2006/main" count="106" uniqueCount="38">
  <si>
    <t>双</t>
  </si>
  <si>
    <t>蛇</t>
  </si>
  <si>
    <t>特下注额</t>
  </si>
  <si>
    <t>赔付额</t>
  </si>
  <si>
    <t>亏损额</t>
  </si>
  <si>
    <t>建议
修改</t>
  </si>
  <si>
    <t>兔</t>
  </si>
  <si>
    <t>牛</t>
  </si>
  <si>
    <t>猪</t>
  </si>
  <si>
    <t>鸡</t>
  </si>
  <si>
    <t>羊</t>
  </si>
  <si>
    <t>临介值</t>
  </si>
  <si>
    <t>亏损最大值</t>
  </si>
  <si>
    <t>02</t>
  </si>
  <si>
    <t>保留</t>
  </si>
  <si>
    <t>04</t>
  </si>
  <si>
    <t>06</t>
  </si>
  <si>
    <t>08</t>
  </si>
  <si>
    <t>亏号码
数量</t>
  </si>
  <si>
    <t>亏损号码</t>
  </si>
  <si>
    <t>02、38、04、16、28、40、06、18、30、42、44、13、25、15、27、05、17、29、21</t>
  </si>
  <si>
    <t>单</t>
  </si>
  <si>
    <t>马</t>
  </si>
  <si>
    <t>龙</t>
  </si>
  <si>
    <t>虎</t>
  </si>
  <si>
    <t>鼠</t>
  </si>
  <si>
    <t>狗</t>
  </si>
  <si>
    <t>猴</t>
  </si>
  <si>
    <t>03</t>
  </si>
  <si>
    <t>05</t>
  </si>
  <si>
    <t>07</t>
  </si>
  <si>
    <t>09</t>
  </si>
  <si>
    <t>最大盈利值</t>
  </si>
  <si>
    <t>/</t>
  </si>
  <si>
    <t>总下注额度</t>
  </si>
  <si>
    <t>返水</t>
  </si>
  <si>
    <t>可赔付本金</t>
  </si>
  <si>
    <t>杀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</si>
</sst>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sz val="11"/>
      <color rgb="FF00B0F0"/>
      <name val="宋体"/>
      <charset val="134"/>
      <scheme val="minor"/>
    </font>
    <font>
      <sz val="11"/>
      <color rgb="FF00B050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8" borderId="21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22" applyNumberFormat="0" applyFill="0" applyAlignment="0" applyProtection="0">
      <alignment vertical="center"/>
    </xf>
    <xf numFmtId="0" fontId="15" fillId="0" borderId="22" applyNumberFormat="0" applyFill="0" applyAlignment="0" applyProtection="0">
      <alignment vertical="center"/>
    </xf>
    <xf numFmtId="0" fontId="16" fillId="0" borderId="23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9" borderId="24" applyNumberFormat="0" applyAlignment="0" applyProtection="0">
      <alignment vertical="center"/>
    </xf>
    <xf numFmtId="0" fontId="18" fillId="10" borderId="25" applyNumberFormat="0" applyAlignment="0" applyProtection="0">
      <alignment vertical="center"/>
    </xf>
    <xf numFmtId="0" fontId="19" fillId="10" borderId="24" applyNumberFormat="0" applyAlignment="0" applyProtection="0">
      <alignment vertical="center"/>
    </xf>
    <xf numFmtId="0" fontId="20" fillId="11" borderId="26" applyNumberFormat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3" fillId="0" borderId="4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2" fillId="3" borderId="16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/>
    </xf>
    <xf numFmtId="0" fontId="3" fillId="0" borderId="3" xfId="0" applyFont="1" applyFill="1" applyBorder="1" applyAlignment="1" quotePrefix="1">
      <alignment horizontal="center" vertical="center"/>
    </xf>
    <xf numFmtId="0" fontId="5" fillId="0" borderId="4" xfId="0" applyFont="1" applyBorder="1" applyAlignment="1" quotePrefix="1">
      <alignment horizontal="center" vertical="center"/>
    </xf>
    <xf numFmtId="0" fontId="6" fillId="0" borderId="4" xfId="0" applyFont="1" applyFill="1" applyBorder="1" applyAlignment="1" quotePrefix="1">
      <alignment horizontal="center" vertical="center"/>
    </xf>
    <xf numFmtId="0" fontId="3" fillId="0" borderId="4" xfId="0" applyFont="1" applyFill="1" applyBorder="1" applyAlignment="1" quotePrefix="1">
      <alignment horizontal="center" vertical="center"/>
    </xf>
    <xf numFmtId="0" fontId="5" fillId="0" borderId="4" xfId="0" applyFont="1" applyFill="1" applyBorder="1" applyAlignment="1" quotePrefix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33</xdr:col>
      <xdr:colOff>68580</xdr:colOff>
      <xdr:row>0</xdr:row>
      <xdr:rowOff>220980</xdr:rowOff>
    </xdr:from>
    <xdr:to>
      <xdr:col>34</xdr:col>
      <xdr:colOff>327660</xdr:colOff>
      <xdr:row>1</xdr:row>
      <xdr:rowOff>321945</xdr:rowOff>
    </xdr:to>
    <xdr:sp macro="[0]!统计亏损并填写建议修改">
      <xdr:nvSpPr>
        <xdr:cNvPr id="3" name="圆角矩形 2"/>
        <xdr:cNvSpPr/>
      </xdr:nvSpPr>
      <xdr:spPr>
        <a:xfrm>
          <a:off x="16055340" y="220980"/>
          <a:ext cx="868680" cy="506730"/>
        </a:xfrm>
        <a:prstGeom prst="roundRect">
          <a:avLst/>
        </a:prstGeom>
      </xdr:spPr>
      <xdr:style>
        <a:lnRef idx="0">
          <a:srgbClr val="FFFFFF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 anchorCtr="0"/>
        <a:p>
          <a:pPr algn="ctr"/>
          <a:r>
            <a:rPr lang="zh-CN" altLang="en-US" sz="1400"/>
            <a:t>统</a:t>
          </a:r>
          <a:r>
            <a:rPr lang="en-US" altLang="zh-CN" sz="1400"/>
            <a:t> </a:t>
          </a:r>
          <a:r>
            <a:rPr lang="zh-CN" altLang="en-US" sz="1400"/>
            <a:t>计</a:t>
          </a:r>
          <a:endParaRPr lang="zh-CN" alt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H17"/>
  <sheetViews>
    <sheetView tabSelected="1" topLeftCell="J1" workbookViewId="0">
      <selection activeCell="E4" sqref="E4"/>
    </sheetView>
  </sheetViews>
  <sheetFormatPr defaultColWidth="8.88888888888889" defaultRowHeight="14.4"/>
  <cols>
    <col min="1" max="1" width="3.33333333333333" customWidth="1"/>
    <col min="2" max="2" width="4.33333333333333" customWidth="1"/>
    <col min="3" max="3" width="7.88888888888889" customWidth="1"/>
    <col min="4" max="4" width="7.11111111111111" customWidth="1"/>
    <col min="5" max="5" width="7.55555555555556" customWidth="1"/>
    <col min="6" max="6" width="5.77777777777778" customWidth="1"/>
    <col min="7" max="7" width="4.33333333333333" customWidth="1"/>
    <col min="8" max="8" width="8.27777777777778" customWidth="1"/>
    <col min="9" max="9" width="7.22222222222222" customWidth="1"/>
    <col min="10" max="10" width="8.22222222222222" customWidth="1"/>
    <col min="11" max="11" width="5.77777777777778" customWidth="1"/>
    <col min="12" max="12" width="4.33333333333333" customWidth="1"/>
    <col min="13" max="13" width="8.27777777777778" customWidth="1"/>
    <col min="14" max="14" width="7.22222222222222" customWidth="1"/>
    <col min="15" max="15" width="8.66666666666667" customWidth="1"/>
    <col min="16" max="16" width="5.77777777777778" customWidth="1"/>
    <col min="17" max="17" width="4.33333333333333" customWidth="1"/>
    <col min="18" max="18" width="8.27777777777778" customWidth="1"/>
    <col min="19" max="19" width="7.22222222222222" customWidth="1"/>
    <col min="20" max="20" width="7.55555555555556" customWidth="1"/>
    <col min="21" max="21" width="5.77777777777778" customWidth="1"/>
    <col min="22" max="22" width="4.33333333333333" customWidth="1"/>
    <col min="23" max="23" width="8.27777777777778" customWidth="1"/>
    <col min="24" max="24" width="7.22222222222222" customWidth="1"/>
    <col min="25" max="25" width="7.55555555555556" customWidth="1"/>
    <col min="26" max="26" width="5.77777777777778" customWidth="1"/>
    <col min="27" max="27" width="4.33333333333333" customWidth="1"/>
    <col min="28" max="28" width="8.88888888888889" customWidth="1"/>
    <col min="29" max="29" width="7.22222222222222" customWidth="1"/>
    <col min="30" max="30" width="8.88888888888889" style="1"/>
    <col min="31" max="31" width="5.77777777777778" customWidth="1"/>
    <col min="33" max="33" width="18.6666666666667" customWidth="1"/>
  </cols>
  <sheetData>
    <row r="1" ht="31.95" customHeight="1" spans="1:34">
      <c r="A1" s="2" t="s">
        <v>0</v>
      </c>
      <c r="B1" s="3" t="s">
        <v>1</v>
      </c>
      <c r="C1" s="4" t="s">
        <v>2</v>
      </c>
      <c r="D1" s="5" t="s">
        <v>3</v>
      </c>
      <c r="E1" s="6" t="s">
        <v>4</v>
      </c>
      <c r="F1" s="7" t="s">
        <v>5</v>
      </c>
      <c r="G1" s="5" t="s">
        <v>6</v>
      </c>
      <c r="H1" s="8" t="s">
        <v>2</v>
      </c>
      <c r="I1" s="5" t="s">
        <v>3</v>
      </c>
      <c r="J1" s="6" t="s">
        <v>4</v>
      </c>
      <c r="K1" s="7" t="s">
        <v>5</v>
      </c>
      <c r="L1" s="5" t="s">
        <v>7</v>
      </c>
      <c r="M1" s="8" t="s">
        <v>2</v>
      </c>
      <c r="N1" s="5" t="s">
        <v>3</v>
      </c>
      <c r="O1" s="6" t="s">
        <v>4</v>
      </c>
      <c r="P1" s="7" t="s">
        <v>5</v>
      </c>
      <c r="Q1" s="5" t="s">
        <v>8</v>
      </c>
      <c r="R1" s="8" t="s">
        <v>2</v>
      </c>
      <c r="S1" s="5" t="s">
        <v>3</v>
      </c>
      <c r="T1" s="6" t="s">
        <v>4</v>
      </c>
      <c r="U1" s="7" t="s">
        <v>5</v>
      </c>
      <c r="V1" s="5" t="s">
        <v>9</v>
      </c>
      <c r="W1" s="8" t="s">
        <v>2</v>
      </c>
      <c r="X1" s="5" t="s">
        <v>3</v>
      </c>
      <c r="Y1" s="6" t="s">
        <v>4</v>
      </c>
      <c r="Z1" s="7" t="s">
        <v>5</v>
      </c>
      <c r="AA1" s="5" t="s">
        <v>10</v>
      </c>
      <c r="AB1" s="57" t="s">
        <v>2</v>
      </c>
      <c r="AC1" s="44" t="s">
        <v>3</v>
      </c>
      <c r="AD1" s="45" t="s">
        <v>4</v>
      </c>
      <c r="AE1" s="46" t="s">
        <v>5</v>
      </c>
      <c r="AF1" s="58" t="s">
        <v>11</v>
      </c>
      <c r="AG1" s="67" t="s">
        <v>12</v>
      </c>
      <c r="AH1" s="68"/>
    </row>
    <row r="2" ht="34.95" customHeight="1" spans="1:34">
      <c r="A2" s="1"/>
      <c r="B2" s="74" t="s">
        <v>13</v>
      </c>
      <c r="C2" s="10">
        <v>80</v>
      </c>
      <c r="D2" s="11">
        <f>C2*47</f>
        <v>3760</v>
      </c>
      <c r="E2" s="12">
        <f>D2-O12</f>
        <v>1368.8</v>
      </c>
      <c r="F2" s="13" t="s">
        <v>14</v>
      </c>
      <c r="G2" s="75" t="s">
        <v>15</v>
      </c>
      <c r="H2" s="10">
        <v>70</v>
      </c>
      <c r="I2" s="11">
        <f>H2*47</f>
        <v>3290</v>
      </c>
      <c r="J2" s="15">
        <f>I2-O12</f>
        <v>898.8</v>
      </c>
      <c r="K2" s="16"/>
      <c r="L2" s="76" t="s">
        <v>16</v>
      </c>
      <c r="M2" s="10">
        <v>70</v>
      </c>
      <c r="N2" s="11">
        <f>M2*47</f>
        <v>3290</v>
      </c>
      <c r="O2" s="15">
        <f>N2-O12</f>
        <v>898.8</v>
      </c>
      <c r="P2" s="20"/>
      <c r="Q2" s="77" t="s">
        <v>17</v>
      </c>
      <c r="R2" s="10">
        <v>35</v>
      </c>
      <c r="S2" s="11">
        <f>R2*47</f>
        <v>1645</v>
      </c>
      <c r="T2" s="15">
        <f>S2-O12</f>
        <v>-746.2</v>
      </c>
      <c r="U2" s="28"/>
      <c r="V2" s="28">
        <v>10</v>
      </c>
      <c r="W2" s="10">
        <v>15</v>
      </c>
      <c r="X2" s="11">
        <f>W2*47</f>
        <v>705</v>
      </c>
      <c r="Y2" s="15">
        <f>X2-O12</f>
        <v>-1686.2</v>
      </c>
      <c r="Z2" s="20"/>
      <c r="AA2" s="20">
        <v>12</v>
      </c>
      <c r="AB2" s="59">
        <v>45</v>
      </c>
      <c r="AC2" s="11">
        <f>AB2*47</f>
        <v>2115</v>
      </c>
      <c r="AD2" s="59">
        <f>AC2-O12</f>
        <v>-276.2</v>
      </c>
      <c r="AE2" s="17"/>
      <c r="AF2" s="60"/>
      <c r="AG2" s="69">
        <v>1368.8</v>
      </c>
      <c r="AH2" s="68"/>
    </row>
    <row r="3" ht="34.95" customHeight="1" spans="1:34">
      <c r="A3" s="1"/>
      <c r="B3" s="14">
        <v>14</v>
      </c>
      <c r="C3" s="10">
        <v>50</v>
      </c>
      <c r="D3" s="11">
        <f>C3*47</f>
        <v>2350</v>
      </c>
      <c r="E3" s="15">
        <f>D3-O12</f>
        <v>-41.1999999999998</v>
      </c>
      <c r="F3" s="16"/>
      <c r="G3" s="16">
        <v>16</v>
      </c>
      <c r="H3" s="17">
        <v>70</v>
      </c>
      <c r="I3" s="11">
        <f>H3*47</f>
        <v>3290</v>
      </c>
      <c r="J3" s="15">
        <f>I3-O12</f>
        <v>898.8</v>
      </c>
      <c r="K3" s="20"/>
      <c r="L3" s="20">
        <v>18</v>
      </c>
      <c r="M3" s="10">
        <v>70</v>
      </c>
      <c r="N3" s="11">
        <f>M3*47</f>
        <v>3290</v>
      </c>
      <c r="O3" s="15">
        <f>N3-O12</f>
        <v>898.8</v>
      </c>
      <c r="P3" s="28"/>
      <c r="Q3" s="28">
        <v>20</v>
      </c>
      <c r="R3" s="10">
        <v>15</v>
      </c>
      <c r="S3" s="11">
        <f>R3*47</f>
        <v>705</v>
      </c>
      <c r="T3" s="15">
        <f>S3-O12</f>
        <v>-1686.2</v>
      </c>
      <c r="U3" s="16"/>
      <c r="V3" s="16">
        <v>22</v>
      </c>
      <c r="W3" s="10">
        <v>15</v>
      </c>
      <c r="X3" s="11">
        <f>W3*47</f>
        <v>705</v>
      </c>
      <c r="Y3" s="15">
        <f>X3-O12</f>
        <v>-1686.2</v>
      </c>
      <c r="Z3" s="20"/>
      <c r="AA3" s="20">
        <v>24</v>
      </c>
      <c r="AB3" s="59">
        <v>45</v>
      </c>
      <c r="AC3" s="11">
        <f>AB3*47</f>
        <v>2115</v>
      </c>
      <c r="AD3" s="59">
        <f>AC3-O12</f>
        <v>-276.2</v>
      </c>
      <c r="AE3" s="61"/>
      <c r="AF3" s="62" t="s">
        <v>18</v>
      </c>
      <c r="AG3" s="59" t="s">
        <v>19</v>
      </c>
      <c r="AH3" s="70"/>
    </row>
    <row r="4" ht="34.95" customHeight="1" spans="1:34">
      <c r="A4" s="1"/>
      <c r="B4" s="14">
        <v>26</v>
      </c>
      <c r="C4" s="18">
        <v>50</v>
      </c>
      <c r="D4" s="11">
        <f>C4*47</f>
        <v>2350</v>
      </c>
      <c r="E4" s="15">
        <f>D4-O12</f>
        <v>-41.1999999999998</v>
      </c>
      <c r="F4" s="16"/>
      <c r="G4" s="16">
        <v>28</v>
      </c>
      <c r="H4" s="17">
        <v>70</v>
      </c>
      <c r="I4" s="11">
        <f>H4*47</f>
        <v>3290</v>
      </c>
      <c r="J4" s="15">
        <f>I4-O12</f>
        <v>898.8</v>
      </c>
      <c r="K4" s="20"/>
      <c r="L4" s="20">
        <v>30</v>
      </c>
      <c r="M4" s="10">
        <v>60</v>
      </c>
      <c r="N4" s="11">
        <f>M4*47</f>
        <v>2820</v>
      </c>
      <c r="O4" s="15">
        <f>N4-O12</f>
        <v>428.8</v>
      </c>
      <c r="P4" s="16"/>
      <c r="Q4" s="16">
        <v>32</v>
      </c>
      <c r="R4" s="10">
        <v>45</v>
      </c>
      <c r="S4" s="11">
        <f>R4*47</f>
        <v>2115</v>
      </c>
      <c r="T4" s="15">
        <f>S4-O12</f>
        <v>-276.2</v>
      </c>
      <c r="U4" s="20"/>
      <c r="V4" s="20">
        <v>34</v>
      </c>
      <c r="W4" s="10">
        <v>25</v>
      </c>
      <c r="X4" s="11">
        <f>W4*47</f>
        <v>1175</v>
      </c>
      <c r="Y4" s="15">
        <f>X4-O12</f>
        <v>-1216.2</v>
      </c>
      <c r="Z4" s="28"/>
      <c r="AA4" s="28">
        <v>36</v>
      </c>
      <c r="AB4" s="59">
        <v>50</v>
      </c>
      <c r="AC4" s="11">
        <f>AB4*47</f>
        <v>2350</v>
      </c>
      <c r="AD4" s="59">
        <f>AC4-O12</f>
        <v>-41.1999999999998</v>
      </c>
      <c r="AE4" s="17"/>
      <c r="AF4" s="63">
        <v>19</v>
      </c>
      <c r="AG4" s="71" t="s">
        <v>20</v>
      </c>
      <c r="AH4" s="52"/>
    </row>
    <row r="5" ht="34.95" customHeight="1" spans="1:34">
      <c r="A5" s="1"/>
      <c r="B5" s="19">
        <v>38</v>
      </c>
      <c r="C5" s="10">
        <v>70</v>
      </c>
      <c r="D5" s="11">
        <f>C5*47</f>
        <v>3290</v>
      </c>
      <c r="E5" s="15">
        <f>D5-O12</f>
        <v>898.8</v>
      </c>
      <c r="F5" s="20"/>
      <c r="G5" s="20">
        <v>40</v>
      </c>
      <c r="H5" s="17">
        <v>60</v>
      </c>
      <c r="I5" s="11">
        <f>H5*47</f>
        <v>2820</v>
      </c>
      <c r="J5" s="15">
        <f>I5-O12</f>
        <v>428.8</v>
      </c>
      <c r="K5" s="28"/>
      <c r="L5" s="28">
        <v>42</v>
      </c>
      <c r="M5" s="10">
        <v>60</v>
      </c>
      <c r="N5" s="11">
        <f>M5*47</f>
        <v>2820</v>
      </c>
      <c r="O5" s="12">
        <f>N5-O12</f>
        <v>428.8</v>
      </c>
      <c r="P5" s="31"/>
      <c r="Q5" s="31">
        <v>44</v>
      </c>
      <c r="R5" s="10">
        <v>55</v>
      </c>
      <c r="S5" s="11">
        <f>R5*47</f>
        <v>2585</v>
      </c>
      <c r="T5" s="15">
        <f>S5-O12</f>
        <v>193.8</v>
      </c>
      <c r="U5" s="20"/>
      <c r="V5" s="20">
        <v>46</v>
      </c>
      <c r="W5" s="10">
        <v>45</v>
      </c>
      <c r="X5" s="11">
        <f>W5*47</f>
        <v>2115</v>
      </c>
      <c r="Y5" s="15">
        <f>X5-O12</f>
        <v>-276.2</v>
      </c>
      <c r="Z5" s="28"/>
      <c r="AA5" s="28">
        <v>48</v>
      </c>
      <c r="AB5" s="10">
        <v>40</v>
      </c>
      <c r="AC5" s="11">
        <f>AB5*47</f>
        <v>1880</v>
      </c>
      <c r="AD5" s="59">
        <f>AC5-O12</f>
        <v>-511.2</v>
      </c>
      <c r="AE5" s="17"/>
      <c r="AF5" s="1"/>
      <c r="AG5" s="72"/>
      <c r="AH5" s="52"/>
    </row>
    <row r="6" ht="37.05" customHeight="1" spans="1:34">
      <c r="A6" s="21" t="s">
        <v>21</v>
      </c>
      <c r="B6" s="22" t="s">
        <v>22</v>
      </c>
      <c r="C6" s="23" t="s">
        <v>2</v>
      </c>
      <c r="D6" s="24" t="s">
        <v>3</v>
      </c>
      <c r="E6" s="25" t="s">
        <v>4</v>
      </c>
      <c r="F6" s="26" t="s">
        <v>5</v>
      </c>
      <c r="G6" s="24" t="s">
        <v>23</v>
      </c>
      <c r="H6" s="23" t="s">
        <v>2</v>
      </c>
      <c r="I6" s="44" t="s">
        <v>3</v>
      </c>
      <c r="J6" s="45" t="s">
        <v>4</v>
      </c>
      <c r="K6" s="46" t="s">
        <v>5</v>
      </c>
      <c r="L6" s="44" t="s">
        <v>24</v>
      </c>
      <c r="M6" s="47" t="s">
        <v>2</v>
      </c>
      <c r="N6" s="24" t="s">
        <v>3</v>
      </c>
      <c r="O6" s="25" t="s">
        <v>4</v>
      </c>
      <c r="P6" s="26" t="s">
        <v>5</v>
      </c>
      <c r="Q6" s="24" t="s">
        <v>25</v>
      </c>
      <c r="R6" s="23" t="s">
        <v>2</v>
      </c>
      <c r="S6" s="24" t="s">
        <v>3</v>
      </c>
      <c r="T6" s="25" t="s">
        <v>4</v>
      </c>
      <c r="U6" s="26" t="s">
        <v>5</v>
      </c>
      <c r="V6" s="24" t="s">
        <v>26</v>
      </c>
      <c r="W6" s="47" t="s">
        <v>2</v>
      </c>
      <c r="X6" s="44" t="s">
        <v>3</v>
      </c>
      <c r="Y6" s="45" t="s">
        <v>4</v>
      </c>
      <c r="Z6" s="46" t="s">
        <v>5</v>
      </c>
      <c r="AA6" s="44" t="s">
        <v>27</v>
      </c>
      <c r="AB6" s="64" t="s">
        <v>2</v>
      </c>
      <c r="AC6" s="44" t="s">
        <v>3</v>
      </c>
      <c r="AD6" s="45" t="s">
        <v>4</v>
      </c>
      <c r="AE6" s="46" t="s">
        <v>5</v>
      </c>
      <c r="AF6" s="1"/>
      <c r="AG6" s="34"/>
      <c r="AH6" s="52"/>
    </row>
    <row r="7" ht="34.95" customHeight="1" spans="1:34">
      <c r="A7" s="1"/>
      <c r="B7" s="27">
        <v>1</v>
      </c>
      <c r="C7" s="10">
        <v>40</v>
      </c>
      <c r="D7" s="11">
        <f t="shared" ref="D6:D11" si="0">C7*47</f>
        <v>1880</v>
      </c>
      <c r="E7" s="15">
        <f>D7-O12</f>
        <v>-511.2</v>
      </c>
      <c r="F7" s="28"/>
      <c r="G7" s="78" t="s">
        <v>28</v>
      </c>
      <c r="H7" s="18">
        <v>50</v>
      </c>
      <c r="I7" s="48">
        <f>H7*47</f>
        <v>2350</v>
      </c>
      <c r="J7" s="49">
        <f>I7-O12</f>
        <v>-41.1999999999998</v>
      </c>
      <c r="K7" s="50"/>
      <c r="L7" s="50" t="s">
        <v>29</v>
      </c>
      <c r="M7" s="10">
        <v>70</v>
      </c>
      <c r="N7" s="11">
        <f>M7*47</f>
        <v>3290</v>
      </c>
      <c r="O7" s="15">
        <f>N7-O12</f>
        <v>898.8</v>
      </c>
      <c r="P7" s="20"/>
      <c r="Q7" s="77" t="s">
        <v>30</v>
      </c>
      <c r="R7" s="10">
        <v>50</v>
      </c>
      <c r="S7" s="11">
        <f>R7*47</f>
        <v>2350</v>
      </c>
      <c r="T7" s="15">
        <f>S7-O12</f>
        <v>-41.1999999999998</v>
      </c>
      <c r="U7" s="28"/>
      <c r="V7" s="78" t="s">
        <v>31</v>
      </c>
      <c r="W7" s="32">
        <v>10</v>
      </c>
      <c r="X7" s="11">
        <f>W7*47</f>
        <v>470</v>
      </c>
      <c r="Y7" s="12">
        <f>X7-O12</f>
        <v>-1921.2</v>
      </c>
      <c r="Z7" s="31"/>
      <c r="AA7" s="31">
        <v>11</v>
      </c>
      <c r="AB7" s="65">
        <v>50</v>
      </c>
      <c r="AC7" s="11">
        <f>AB7*47</f>
        <v>2350</v>
      </c>
      <c r="AD7" s="12">
        <f>AC7-O12</f>
        <v>-41.1999999999998</v>
      </c>
      <c r="AE7" s="17"/>
      <c r="AF7" s="1"/>
      <c r="AG7" s="73" t="s">
        <v>32</v>
      </c>
      <c r="AH7" s="1"/>
    </row>
    <row r="8" ht="34.95" customHeight="1" spans="1:34">
      <c r="A8" s="1"/>
      <c r="B8" s="27">
        <v>13</v>
      </c>
      <c r="C8" s="10">
        <v>70</v>
      </c>
      <c r="D8" s="11">
        <f t="shared" si="0"/>
        <v>3290</v>
      </c>
      <c r="E8" s="15">
        <f>D8-O12</f>
        <v>898.8</v>
      </c>
      <c r="F8" s="28"/>
      <c r="G8" s="28">
        <v>15</v>
      </c>
      <c r="H8" s="18">
        <v>60</v>
      </c>
      <c r="I8" s="48">
        <f>H8*47</f>
        <v>2820</v>
      </c>
      <c r="J8" s="49">
        <f>I8-O12</f>
        <v>428.8</v>
      </c>
      <c r="K8" s="31"/>
      <c r="L8" s="31">
        <v>17</v>
      </c>
      <c r="M8" s="10">
        <v>80</v>
      </c>
      <c r="N8" s="11">
        <f>M8*47</f>
        <v>3760</v>
      </c>
      <c r="O8" s="15">
        <f>N8-O12</f>
        <v>1368.8</v>
      </c>
      <c r="P8" s="20">
        <v>8</v>
      </c>
      <c r="Q8" s="20">
        <v>19</v>
      </c>
      <c r="R8" s="32">
        <v>50</v>
      </c>
      <c r="S8" s="11">
        <f>R8*47</f>
        <v>2350</v>
      </c>
      <c r="T8" s="15">
        <f>S8-O12</f>
        <v>-41.1999999999998</v>
      </c>
      <c r="U8" s="16"/>
      <c r="V8" s="16">
        <v>21</v>
      </c>
      <c r="W8" s="53">
        <v>60</v>
      </c>
      <c r="X8" s="11">
        <f>W8*47</f>
        <v>2820</v>
      </c>
      <c r="Y8" s="12">
        <f>X8-O12</f>
        <v>428.8</v>
      </c>
      <c r="Z8" s="11"/>
      <c r="AA8" s="11">
        <v>23</v>
      </c>
      <c r="AB8" s="65">
        <v>50</v>
      </c>
      <c r="AC8" s="11">
        <f>AB8*47</f>
        <v>2350</v>
      </c>
      <c r="AD8" s="12">
        <f>AC8-O12</f>
        <v>-41.1999999999998</v>
      </c>
      <c r="AE8" s="17"/>
      <c r="AF8" s="1"/>
      <c r="AG8" s="59">
        <v>-2391.2</v>
      </c>
      <c r="AH8" s="1"/>
    </row>
    <row r="9" ht="34.95" customHeight="1" spans="1:34">
      <c r="A9" s="1"/>
      <c r="B9" s="29">
        <v>25</v>
      </c>
      <c r="C9" s="10">
        <v>70</v>
      </c>
      <c r="D9" s="11">
        <f t="shared" si="0"/>
        <v>3290</v>
      </c>
      <c r="E9" s="15">
        <f>D9-O12</f>
        <v>898.8</v>
      </c>
      <c r="F9" s="16"/>
      <c r="G9" s="16">
        <v>27</v>
      </c>
      <c r="H9" s="10">
        <v>60</v>
      </c>
      <c r="I9" s="48">
        <f>H9*47</f>
        <v>2820</v>
      </c>
      <c r="J9" s="49">
        <f>I9-O12</f>
        <v>428.8</v>
      </c>
      <c r="K9" s="11"/>
      <c r="L9" s="11">
        <v>29</v>
      </c>
      <c r="M9" s="10">
        <v>80</v>
      </c>
      <c r="N9" s="11">
        <f>M9*47</f>
        <v>3760</v>
      </c>
      <c r="O9" s="15">
        <f>N9-O12</f>
        <v>1368.8</v>
      </c>
      <c r="P9" s="28">
        <v>8</v>
      </c>
      <c r="Q9" s="28">
        <v>31</v>
      </c>
      <c r="R9" s="32">
        <v>50</v>
      </c>
      <c r="S9" s="11">
        <f>R9*47</f>
        <v>2350</v>
      </c>
      <c r="T9" s="12">
        <f>S9-O12</f>
        <v>-41.1999999999998</v>
      </c>
      <c r="U9" s="31"/>
      <c r="V9" s="31">
        <v>33</v>
      </c>
      <c r="W9" s="32"/>
      <c r="X9" s="11">
        <f>W9*47</f>
        <v>0</v>
      </c>
      <c r="Y9" s="12">
        <f>X9-O12</f>
        <v>-2391.2</v>
      </c>
      <c r="Z9" s="11"/>
      <c r="AA9" s="11">
        <v>35</v>
      </c>
      <c r="AB9" s="10">
        <v>50</v>
      </c>
      <c r="AC9" s="11">
        <f>AB9*47</f>
        <v>2350</v>
      </c>
      <c r="AD9" s="12">
        <f>AC9-O12</f>
        <v>-41.1999999999998</v>
      </c>
      <c r="AE9" s="17"/>
      <c r="AF9" s="1"/>
      <c r="AG9" s="1"/>
      <c r="AH9" s="1"/>
    </row>
    <row r="10" ht="34.95" customHeight="1" spans="1:34">
      <c r="A10" s="1"/>
      <c r="B10" s="29">
        <v>37</v>
      </c>
      <c r="C10" s="10">
        <v>40</v>
      </c>
      <c r="D10" s="11">
        <f t="shared" si="0"/>
        <v>1880</v>
      </c>
      <c r="E10" s="15">
        <f>D10-O12</f>
        <v>-511.2</v>
      </c>
      <c r="F10" s="16"/>
      <c r="G10" s="16">
        <v>39</v>
      </c>
      <c r="H10" s="18">
        <v>50</v>
      </c>
      <c r="I10" s="48">
        <f>H10*47</f>
        <v>2350</v>
      </c>
      <c r="J10" s="49">
        <f>I10-O12</f>
        <v>-41.1999999999998</v>
      </c>
      <c r="K10" s="13"/>
      <c r="L10" s="13">
        <v>41</v>
      </c>
      <c r="M10" s="10">
        <v>50</v>
      </c>
      <c r="N10" s="11">
        <f>M10*47</f>
        <v>2350</v>
      </c>
      <c r="O10" s="12">
        <f>N10-O12</f>
        <v>-41.1999999999998</v>
      </c>
      <c r="P10" s="31"/>
      <c r="Q10" s="31">
        <v>43</v>
      </c>
      <c r="R10" s="32">
        <v>50</v>
      </c>
      <c r="S10" s="11">
        <f>R10*47</f>
        <v>2350</v>
      </c>
      <c r="T10" s="12">
        <f>S10-O12</f>
        <v>-41.1999999999998</v>
      </c>
      <c r="U10" s="11"/>
      <c r="V10" s="11">
        <v>45</v>
      </c>
      <c r="W10" s="32"/>
      <c r="X10" s="11">
        <f>W10*47</f>
        <v>0</v>
      </c>
      <c r="Y10" s="12">
        <f>X10-O12</f>
        <v>-2391.2</v>
      </c>
      <c r="Z10" s="13"/>
      <c r="AA10" s="13">
        <v>47</v>
      </c>
      <c r="AB10" s="65">
        <v>50</v>
      </c>
      <c r="AC10" s="11">
        <f>AB10*47</f>
        <v>2350</v>
      </c>
      <c r="AD10" s="12">
        <f>AC10-O12</f>
        <v>-41.1999999999998</v>
      </c>
      <c r="AE10" s="17"/>
      <c r="AF10" s="1"/>
      <c r="AG10" s="1"/>
      <c r="AH10" s="1"/>
    </row>
    <row r="11" ht="30" customHeight="1" spans="1:34">
      <c r="A11" s="1"/>
      <c r="B11" s="30">
        <v>49</v>
      </c>
      <c r="C11" s="10">
        <v>40</v>
      </c>
      <c r="D11" s="11">
        <f t="shared" si="0"/>
        <v>1880</v>
      </c>
      <c r="E11" s="12">
        <f>D11-O12</f>
        <v>-511.2</v>
      </c>
      <c r="F11" s="31"/>
      <c r="G11" s="32" t="s">
        <v>33</v>
      </c>
      <c r="H11" s="32" t="s">
        <v>33</v>
      </c>
      <c r="I11" s="51" t="s">
        <v>33</v>
      </c>
      <c r="J11" s="51" t="s">
        <v>33</v>
      </c>
      <c r="K11" s="51" t="s">
        <v>33</v>
      </c>
      <c r="L11" s="51" t="s">
        <v>33</v>
      </c>
      <c r="M11" s="32" t="s">
        <v>33</v>
      </c>
      <c r="N11" s="51" t="s">
        <v>33</v>
      </c>
      <c r="O11" s="51" t="s">
        <v>33</v>
      </c>
      <c r="P11" s="51" t="s">
        <v>33</v>
      </c>
      <c r="Q11" s="51" t="s">
        <v>33</v>
      </c>
      <c r="R11" s="51" t="s">
        <v>33</v>
      </c>
      <c r="S11" s="51" t="s">
        <v>33</v>
      </c>
      <c r="T11" s="51" t="s">
        <v>33</v>
      </c>
      <c r="U11" s="51" t="s">
        <v>33</v>
      </c>
      <c r="V11" s="51" t="s">
        <v>33</v>
      </c>
      <c r="W11" s="32" t="s">
        <v>33</v>
      </c>
      <c r="X11" s="51" t="s">
        <v>33</v>
      </c>
      <c r="Y11" s="51" t="s">
        <v>33</v>
      </c>
      <c r="Z11" s="51" t="s">
        <v>33</v>
      </c>
      <c r="AA11" s="51" t="s">
        <v>33</v>
      </c>
      <c r="AB11" s="66" t="s">
        <v>33</v>
      </c>
      <c r="AC11" s="32" t="s">
        <v>33</v>
      </c>
      <c r="AD11" s="32" t="s">
        <v>33</v>
      </c>
      <c r="AE11" s="53" t="s">
        <v>33</v>
      </c>
      <c r="AF11" s="1"/>
      <c r="AG11" s="1"/>
      <c r="AH11" s="1"/>
    </row>
    <row r="12" spans="2:30">
      <c r="B12" s="33" t="s">
        <v>34</v>
      </c>
      <c r="C12" s="34"/>
      <c r="D12" s="35">
        <f>C2+C3+C4+C5+H2+H3+H4+H5+M2+M3+M4+M5+R2+R3+R4+R5+W2+W3+W4+W5+AB2+AB3+AB4+AB5+AB7+AB8+AB9+AB10+W10+W9+W8+W7+R7+R8+R9+R10+M7+M8+M9+M10+H10+H9+H8+H7+C7+C8+C9+C10+C11</f>
        <v>2440</v>
      </c>
      <c r="E12" s="36"/>
      <c r="F12" s="36"/>
      <c r="G12" s="37"/>
      <c r="H12" s="38"/>
      <c r="I12" s="38" t="s">
        <v>35</v>
      </c>
      <c r="J12" s="33">
        <f>D12*0.02</f>
        <v>48.8</v>
      </c>
      <c r="K12" s="33"/>
      <c r="L12" s="33"/>
      <c r="M12" s="33"/>
      <c r="N12" s="33" t="s">
        <v>36</v>
      </c>
      <c r="O12" s="33">
        <f>D12-J12</f>
        <v>2391.2</v>
      </c>
      <c r="P12" s="33"/>
      <c r="Q12" s="33"/>
      <c r="R12" s="33"/>
      <c r="S12" s="54" t="s">
        <v>37</v>
      </c>
      <c r="T12" s="37"/>
      <c r="U12" s="37"/>
      <c r="V12" s="37"/>
      <c r="W12" s="38"/>
      <c r="X12" s="55"/>
      <c r="Y12" s="56"/>
      <c r="Z12" s="56"/>
      <c r="AA12" s="56"/>
      <c r="AB12" s="56"/>
      <c r="AC12" s="56"/>
      <c r="AD12" s="56"/>
    </row>
    <row r="13" spans="2:30">
      <c r="B13" s="33"/>
      <c r="C13" s="33"/>
      <c r="D13" s="35"/>
      <c r="E13" s="39"/>
      <c r="F13" s="39"/>
      <c r="G13" s="39"/>
      <c r="H13" s="40"/>
      <c r="I13" s="40"/>
      <c r="J13" s="33"/>
      <c r="K13" s="33"/>
      <c r="L13" s="33"/>
      <c r="M13" s="33"/>
      <c r="N13" s="33"/>
      <c r="O13" s="33"/>
      <c r="P13" s="33"/>
      <c r="Q13" s="33"/>
      <c r="R13" s="33"/>
      <c r="S13" s="35"/>
      <c r="T13" s="39"/>
      <c r="U13" s="39"/>
      <c r="V13" s="39"/>
      <c r="W13" s="40"/>
      <c r="X13" s="56"/>
      <c r="Y13" s="56"/>
      <c r="Z13" s="56"/>
      <c r="AA13" s="56"/>
      <c r="AB13" s="56"/>
      <c r="AC13" s="56"/>
      <c r="AD13" s="56"/>
    </row>
    <row r="14" ht="28.05" customHeight="1" spans="2:30">
      <c r="B14" s="33"/>
      <c r="C14" s="33"/>
      <c r="D14" s="41"/>
      <c r="E14" s="42"/>
      <c r="F14" s="42"/>
      <c r="G14" s="42"/>
      <c r="H14" s="43"/>
      <c r="I14" s="43"/>
      <c r="J14" s="33"/>
      <c r="K14" s="33"/>
      <c r="L14" s="33"/>
      <c r="M14" s="33"/>
      <c r="N14" s="33"/>
      <c r="O14" s="33"/>
      <c r="P14" s="33"/>
      <c r="Q14" s="33"/>
      <c r="R14" s="33"/>
      <c r="S14" s="41"/>
      <c r="T14" s="42"/>
      <c r="U14" s="42"/>
      <c r="V14" s="42"/>
      <c r="W14" s="43"/>
      <c r="X14" s="56"/>
      <c r="Y14" s="56"/>
      <c r="Z14" s="56"/>
      <c r="AA14" s="56"/>
      <c r="AB14" s="56"/>
      <c r="AC14" s="56"/>
      <c r="AD14" s="56"/>
    </row>
    <row r="15" spans="14:18">
      <c r="N15" s="36"/>
      <c r="O15" s="52"/>
      <c r="P15" s="52"/>
      <c r="Q15" s="52"/>
      <c r="R15" s="52"/>
    </row>
    <row r="16" spans="14:18">
      <c r="N16" s="52"/>
      <c r="O16" s="52"/>
      <c r="P16" s="52"/>
      <c r="Q16" s="52"/>
      <c r="R16" s="52"/>
    </row>
    <row r="17" spans="14:18">
      <c r="N17" s="52"/>
      <c r="O17" s="52"/>
      <c r="P17" s="52"/>
      <c r="Q17" s="52"/>
      <c r="R17" s="52"/>
    </row>
  </sheetData>
  <mergeCells count="11">
    <mergeCell ref="I12:I14"/>
    <mergeCell ref="N12:N14"/>
    <mergeCell ref="N15:N17"/>
    <mergeCell ref="AG4:AG6"/>
    <mergeCell ref="B12:C14"/>
    <mergeCell ref="D12:H14"/>
    <mergeCell ref="S12:W14"/>
    <mergeCell ref="J12:M14"/>
    <mergeCell ref="O12:R14"/>
    <mergeCell ref="Q15:R17"/>
    <mergeCell ref="X12:AD14"/>
  </mergeCells>
  <conditionalFormatting sqref="AH9">
    <cfRule type="cellIs" dxfId="0" priority="13" operator="greaterThan">
      <formula>$O$12</formula>
    </cfRule>
  </conditionalFormatting>
  <conditionalFormatting sqref="G18">
    <cfRule type="cellIs" dxfId="0" priority="14" operator="greaterThan">
      <formula>$Q$15</formula>
    </cfRule>
  </conditionalFormatting>
  <conditionalFormatting sqref="AC2:AC5">
    <cfRule type="cellIs" dxfId="0" priority="7" operator="greaterThan">
      <formula>$O$12</formula>
    </cfRule>
  </conditionalFormatting>
  <conditionalFormatting sqref="AC7:AC10">
    <cfRule type="cellIs" dxfId="0" priority="1" operator="greaterThan">
      <formula>$O$12</formula>
    </cfRule>
  </conditionalFormatting>
  <conditionalFormatting sqref="D2:F5">
    <cfRule type="cellIs" dxfId="0" priority="12" operator="greaterThan">
      <formula>$O$12</formula>
    </cfRule>
  </conditionalFormatting>
  <conditionalFormatting sqref="I2:K5">
    <cfRule type="cellIs" dxfId="0" priority="11" operator="greaterThan">
      <formula>$O$12</formula>
    </cfRule>
  </conditionalFormatting>
  <conditionalFormatting sqref="N2:P5">
    <cfRule type="cellIs" dxfId="0" priority="10" operator="greaterThan">
      <formula>$O$12</formula>
    </cfRule>
  </conditionalFormatting>
  <conditionalFormatting sqref="S2:U5">
    <cfRule type="cellIs" dxfId="0" priority="9" operator="greaterThan">
      <formula>$O$12</formula>
    </cfRule>
  </conditionalFormatting>
  <conditionalFormatting sqref="X2:Z5">
    <cfRule type="cellIs" dxfId="0" priority="8" operator="greaterThan">
      <formula>$O$12</formula>
    </cfRule>
  </conditionalFormatting>
  <conditionalFormatting sqref="D7:F11">
    <cfRule type="cellIs" dxfId="0" priority="6" operator="greaterThan">
      <formula>$O$12</formula>
    </cfRule>
  </conditionalFormatting>
  <conditionalFormatting sqref="I7:K10">
    <cfRule type="cellIs" dxfId="0" priority="5" operator="greaterThan">
      <formula>$O$12</formula>
    </cfRule>
  </conditionalFormatting>
  <conditionalFormatting sqref="N7:P10">
    <cfRule type="cellIs" dxfId="0" priority="4" operator="greaterThan">
      <formula>$O$12</formula>
    </cfRule>
  </conditionalFormatting>
  <conditionalFormatting sqref="S7:U10">
    <cfRule type="cellIs" dxfId="0" priority="3" operator="greaterThan">
      <formula>$O$12</formula>
    </cfRule>
  </conditionalFormatting>
  <conditionalFormatting sqref="X7:Z10">
    <cfRule type="cellIs" dxfId="0" priority="2" operator="greaterThan">
      <formula>$O$12</formula>
    </cfRule>
  </conditionalFormatting>
  <printOptions horizontalCentered="1" verticalCentered="1"/>
  <pageMargins left="0.700694444444445" right="0.700694444444445" top="0.751388888888889" bottom="0.751388888888889" header="0.298611111111111" footer="0.298611111111111"/>
  <pageSetup paperSize="9" orientation="landscape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计算器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86137</dc:creator>
  <cp:lastModifiedBy>Harrison</cp:lastModifiedBy>
  <dcterms:created xsi:type="dcterms:W3CDTF">2024-06-17T09:18:00Z</dcterms:created>
  <cp:lastPrinted>2026-03-10T08:36:00Z</cp:lastPrinted>
  <dcterms:modified xsi:type="dcterms:W3CDTF">2026-04-19T16:21:04Z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20EC9ADB0C184D4A91041EFAEA9AF312_13</vt:lpwstr>
  </property>
  <property fmtid="{D5CDD505-2E9C-101B-9397-08002B2CF9AE}" pid="3" name="KSOProductBuildVer">
    <vt:lpwstr>2052-12.1.0.19302</vt:lpwstr>
  </property>
  <property fmtid="{D5CDD505-2E9C-101B-9397-08002B2CF9AE}" pid="4" name="CalculationRule">
    <vt:i4>0</vt:i4>
  </property>
  <property fmtid="{D5CDD505-2E9C-101B-9397-08002B2CF9AE}" pid="5" name="KSOReadingLayout">
    <vt:bool>false</vt:bool>
  </property>
</Properties>
</file>