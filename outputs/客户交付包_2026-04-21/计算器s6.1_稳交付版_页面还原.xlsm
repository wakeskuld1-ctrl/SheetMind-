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ust\Excel_Skill\outputs\客户交付包_2026-04-21\"/>
    </mc:Choice>
  </mc:AlternateContent>
  <xr:revisionPtr revIDLastSave="0" documentId="13_ncr:1_{E69AF19B-272E-4F4B-88C6-4D9C914F7168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计算器" sheetId="1" r:id="rId1"/>
    <sheet name="优化建议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D11" i="1"/>
  <c r="AC10" i="1"/>
  <c r="X10" i="1"/>
  <c r="S10" i="1"/>
  <c r="N10" i="1"/>
  <c r="I10" i="1"/>
  <c r="D10" i="1"/>
  <c r="AC9" i="1"/>
  <c r="X9" i="1"/>
  <c r="S9" i="1"/>
  <c r="N9" i="1"/>
  <c r="I9" i="1"/>
  <c r="D9" i="1"/>
  <c r="AC8" i="1"/>
  <c r="X8" i="1"/>
  <c r="S8" i="1"/>
  <c r="N8" i="1"/>
  <c r="I8" i="1"/>
  <c r="D8" i="1"/>
  <c r="AC7" i="1"/>
  <c r="X7" i="1"/>
  <c r="S7" i="1"/>
  <c r="N7" i="1"/>
  <c r="I7" i="1"/>
  <c r="D7" i="1"/>
  <c r="AC5" i="1"/>
  <c r="X5" i="1"/>
  <c r="S5" i="1"/>
  <c r="N5" i="1"/>
  <c r="I5" i="1"/>
  <c r="D5" i="1"/>
  <c r="AC4" i="1"/>
  <c r="X4" i="1"/>
  <c r="S4" i="1"/>
  <c r="N4" i="1"/>
  <c r="I4" i="1"/>
  <c r="D4" i="1"/>
  <c r="AC3" i="1"/>
  <c r="X3" i="1"/>
  <c r="S3" i="1"/>
  <c r="N3" i="1"/>
  <c r="I3" i="1"/>
  <c r="D3" i="1"/>
  <c r="AC2" i="1"/>
  <c r="X2" i="1"/>
  <c r="S2" i="1"/>
  <c r="N2" i="1"/>
  <c r="I2" i="1"/>
  <c r="D2" i="1"/>
  <c r="J12" i="1" l="1"/>
  <c r="O12" i="1" s="1"/>
  <c r="AD10" i="1" l="1"/>
  <c r="Y8" i="1"/>
  <c r="AD3" i="1"/>
  <c r="T7" i="1"/>
  <c r="E4" i="1"/>
  <c r="AD7" i="1"/>
  <c r="E3" i="1"/>
  <c r="Y4" i="1"/>
  <c r="AD8" i="1"/>
  <c r="T9" i="1"/>
  <c r="J7" i="1"/>
  <c r="O4" i="1"/>
  <c r="AG6" i="1"/>
  <c r="O7" i="1"/>
  <c r="J5" i="1"/>
  <c r="Y7" i="1"/>
  <c r="J10" i="1"/>
  <c r="E8" i="1"/>
  <c r="O5" i="1"/>
  <c r="O3" i="1"/>
  <c r="O10" i="1"/>
  <c r="J4" i="1"/>
  <c r="T5" i="1"/>
  <c r="O2" i="1"/>
  <c r="T10" i="1"/>
  <c r="T2" i="1"/>
  <c r="Y5" i="1"/>
  <c r="Y2" i="1"/>
  <c r="Y10" i="1"/>
  <c r="AD2" i="1"/>
  <c r="AD5" i="1"/>
  <c r="J3" i="1"/>
  <c r="E7" i="1"/>
  <c r="O8" i="1"/>
  <c r="T3" i="1"/>
  <c r="T8" i="1"/>
  <c r="AD9" i="1"/>
  <c r="E2" i="1"/>
  <c r="E11" i="1"/>
  <c r="J9" i="1"/>
  <c r="Y9" i="1"/>
  <c r="E10" i="1"/>
  <c r="J8" i="1"/>
  <c r="J2" i="1"/>
  <c r="Y3" i="1"/>
  <c r="E9" i="1"/>
  <c r="O9" i="1"/>
  <c r="T4" i="1"/>
  <c r="AD4" i="1"/>
  <c r="E5" i="1"/>
  <c r="AG8" i="1" l="1"/>
  <c r="AG4" i="1"/>
  <c r="AG2" i="1"/>
</calcChain>
</file>

<file path=xl/sharedStrings.xml><?xml version="1.0" encoding="utf-8"?>
<sst xmlns="http://schemas.openxmlformats.org/spreadsheetml/2006/main" count="150" uniqueCount="82">
  <si>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</si>
  <si>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</si>
  <si>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</si>
  <si>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</si>
  <si>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</si>
  <si>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</si>
  <si>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</si>
  <si>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</si>
  <si>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</si>
  <si>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</si>
  <si>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</si>
  <si>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</si>
  <si>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</si>
  <si>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</si>
  <si>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</si>
  <si>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</si>
  <si>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</si>
  <si>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</si>
  <si>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</si>
  <si>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</si>
  <si>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</si>
  <si>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</si>
  <si>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</si>
  <si>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</si>
  <si>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</si>
  <si>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</si>
  <si>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</si>
  <si>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</si>
  <si>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</si>
  <si>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</si>
  <si>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</si>
  <si>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</si>
  <si>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</si>
  <si>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</si>
  <si>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</si>
  <si>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</si>
  <si>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</si>
  <si>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</si>
  <si>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</si>
  <si>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</si>
  <si>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</si>
  <si>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</si>
  <si>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</si>
  <si>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</si>
  <si>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</si>
  <si>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</si>
  <si>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</si>
  <si>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</si>
  <si>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</si>
  <si>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</si>
  <si>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</si>
  <si>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</si>
  <si>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</si>
  <si>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</si>
  <si>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</si>
  <si>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</si>
  <si>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</si>
  <si>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</si>
  <si>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</si>
  <si>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</si>
  <si>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</si>
  <si>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</si>
  <si>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</si>
  <si>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</si>
  <si>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</si>
  <si>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</si>
  <si>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</si>
  <si>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</si>
  <si>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</si>
  <si>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</si>
  <si>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</si>
  <si>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</si>
  <si>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</si>
  <si>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</si>
  <si>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</si>
  <si>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</si>
  <si>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</si>
  <si>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</si>
  <si>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</si>
  <si>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优化摘要</t>
  </si>
  <si>
    <t>请在第一页录入数据后点击测算。</t>
  </si>
  <si>
    <t>计算失败，请查看日志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</si>
</sst>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FFFF"/>
      <name val="宋体"/>
      <family val="2"/>
      <scheme val="minor"/>
    </font>
    <font>
      <sz val="11"/>
      <color rgb="FF80808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2" xfId="0" applyBorder="1"/>
    <xf numFmtId="2" fontId="0" fillId="0" borderId="2" xfId="0" applyNumberForma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常规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13</xdr:row>
          <xdr:rowOff>15240</xdr:rowOff>
        </xdr:from>
        <xdr:to>
          <xdr:col>20</xdr:col>
          <xdr:colOff>502920</xdr:colOff>
          <xdr:row>13</xdr:row>
          <xdr:rowOff>289560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测算并生成建议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4"/>
  <sheetViews>
    <sheetView tabSelected="1" topLeftCell="I1" workbookViewId="0">
      <selection activeCell="W10" sqref="W10"/>
    </sheetView>
  </sheetViews>
  <sheetFormatPr defaultRowHeight="14.4" x14ac:dyDescent="0.25"/>
  <cols>
    <col min="1" max="1" width="3.6640625" bestFit="1" customWidth="1"/>
    <col min="2" max="2" width="10" bestFit="1" customWidth="1"/>
    <col min="3" max="3" width="16.88671875" bestFit="1" customWidth="1"/>
    <col min="4" max="5" width="9.5546875" bestFit="1" customWidth="1"/>
    <col min="6" max="6" width="7.88671875" bestFit="1" customWidth="1"/>
    <col min="7" max="7" width="3.6640625" bestFit="1" customWidth="1"/>
    <col min="8" max="8" width="19.21875" bestFit="1" customWidth="1"/>
    <col min="9" max="9" width="8.5546875" bestFit="1" customWidth="1"/>
    <col min="10" max="10" width="9.5546875" bestFit="1" customWidth="1"/>
    <col min="11" max="11" width="7.88671875" bestFit="1" customWidth="1"/>
    <col min="12" max="12" width="3.6640625" bestFit="1" customWidth="1"/>
    <col min="13" max="13" width="16.88671875" customWidth="1"/>
    <col min="14" max="15" width="9.5546875" bestFit="1" customWidth="1"/>
    <col min="16" max="16" width="7.88671875" bestFit="1" customWidth="1"/>
    <col min="17" max="17" width="3.6640625" bestFit="1" customWidth="1"/>
    <col min="18" max="18" width="14.6640625" bestFit="1" customWidth="1"/>
    <col min="19" max="19" width="7.88671875" bestFit="1" customWidth="1"/>
    <col min="20" max="20" width="9.5546875" bestFit="1" customWidth="1"/>
    <col min="21" max="21" width="7.88671875" bestFit="1" customWidth="1"/>
    <col min="22" max="22" width="3.6640625" bestFit="1" customWidth="1"/>
    <col min="23" max="23" width="14.6640625" bestFit="1" customWidth="1"/>
    <col min="24" max="24" width="16.88671875" customWidth="1"/>
    <col min="25" max="25" width="9.5546875" bestFit="1" customWidth="1"/>
    <col min="26" max="26" width="7.88671875" bestFit="1" customWidth="1"/>
    <col min="27" max="27" width="3.6640625" bestFit="1" customWidth="1"/>
    <col min="28" max="28" width="14.6640625" bestFit="1" customWidth="1"/>
    <col min="29" max="29" width="7.88671875" bestFit="1" customWidth="1"/>
    <col min="30" max="30" width="9.5546875" bestFit="1" customWidth="1"/>
    <col min="31" max="31" width="7.88671875" bestFit="1" customWidth="1"/>
    <col min="32" max="32" width="13.6640625" customWidth="1"/>
    <col min="33" max="33" width="19.44140625" customWidth="1"/>
    <col min="34" max="34" width="22.6640625" bestFit="1" customWidth="1"/>
  </cols>
  <sheetData>
    <row r="1" spans="1:34" ht="31.95" customHeight="1" x14ac:dyDescent="0.25">
      <c r="A1" s="13" t="s">
        <v>0</v>
      </c>
      <c r="B1" s="14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4" t="s">
        <v>6</v>
      </c>
      <c r="H1" s="1" t="s">
        <v>2</v>
      </c>
      <c r="I1" s="1" t="s">
        <v>3</v>
      </c>
      <c r="J1" s="1" t="s">
        <v>4</v>
      </c>
      <c r="K1" s="2" t="s">
        <v>5</v>
      </c>
      <c r="L1" s="14" t="s">
        <v>7</v>
      </c>
      <c r="M1" s="1" t="s">
        <v>2</v>
      </c>
      <c r="N1" s="1" t="s">
        <v>3</v>
      </c>
      <c r="O1" s="1" t="s">
        <v>4</v>
      </c>
      <c r="P1" s="2" t="s">
        <v>5</v>
      </c>
      <c r="Q1" s="14" t="s">
        <v>8</v>
      </c>
      <c r="R1" s="1" t="s">
        <v>2</v>
      </c>
      <c r="S1" s="1" t="s">
        <v>3</v>
      </c>
      <c r="T1" s="1" t="s">
        <v>4</v>
      </c>
      <c r="U1" s="2" t="s">
        <v>5</v>
      </c>
      <c r="V1" s="14" t="s">
        <v>9</v>
      </c>
      <c r="W1" s="1" t="s">
        <v>2</v>
      </c>
      <c r="X1" s="1" t="s">
        <v>3</v>
      </c>
      <c r="Y1" s="1" t="s">
        <v>4</v>
      </c>
      <c r="Z1" s="2" t="s">
        <v>5</v>
      </c>
      <c r="AA1" s="14" t="s">
        <v>10</v>
      </c>
      <c r="AB1" s="1" t="s">
        <v>2</v>
      </c>
      <c r="AC1" s="1" t="s">
        <v>3</v>
      </c>
      <c r="AD1" s="1" t="s">
        <v>4</v>
      </c>
      <c r="AE1" s="2" t="s">
        <v>5</v>
      </c>
      <c r="AG1" s="7" t="s">
        <v>11</v>
      </c>
    </row>
    <row r="2" spans="1:34" ht="34.950000000000003" customHeight="1" x14ac:dyDescent="0.25">
      <c r="A2" s="15"/>
      <c r="B2" s="3" t="s">
        <v>12</v>
      </c>
      <c r="C2" s="4">
        <v>12</v>
      </c>
      <c r="D2" s="3">
        <f>C2*47</f>
        <v>564</v>
      </c>
      <c r="E2" s="3">
        <f>D2-O12</f>
        <v>-9788.7199999999993</v>
      </c>
      <c r="F2" s="3"/>
      <c r="G2" s="3" t="s">
        <v>13</v>
      </c>
      <c r="H2" s="4">
        <v>231</v>
      </c>
      <c r="I2" s="3">
        <f>H2*47</f>
        <v>10857</v>
      </c>
      <c r="J2" s="3">
        <f>I2-O12</f>
        <v>504.28000000000065</v>
      </c>
      <c r="K2" s="3"/>
      <c r="L2" s="3" t="s">
        <v>14</v>
      </c>
      <c r="M2" s="4">
        <v>221</v>
      </c>
      <c r="N2" s="3">
        <f>M2*47</f>
        <v>10387</v>
      </c>
      <c r="O2" s="3">
        <f>N2-O12</f>
        <v>34.280000000000655</v>
      </c>
      <c r="P2" s="3"/>
      <c r="Q2" s="3" t="s">
        <v>15</v>
      </c>
      <c r="R2" s="4">
        <v>221</v>
      </c>
      <c r="S2" s="3">
        <f>R2*47</f>
        <v>10387</v>
      </c>
      <c r="T2" s="3">
        <f>S2-O12</f>
        <v>34.280000000000655</v>
      </c>
      <c r="U2" s="3"/>
      <c r="V2" s="3" t="s">
        <v>16</v>
      </c>
      <c r="W2" s="4">
        <v>321</v>
      </c>
      <c r="X2" s="3">
        <f>W2*47</f>
        <v>15087</v>
      </c>
      <c r="Y2" s="3">
        <f>X2-O12</f>
        <v>4734.2800000000007</v>
      </c>
      <c r="Z2" s="3"/>
      <c r="AA2" s="3" t="s">
        <v>17</v>
      </c>
      <c r="AB2" s="4">
        <v>412</v>
      </c>
      <c r="AC2" s="3">
        <f>AB2*47</f>
        <v>19364</v>
      </c>
      <c r="AD2" s="3">
        <f>AC2-O12</f>
        <v>9011.2800000000007</v>
      </c>
      <c r="AE2" s="3"/>
      <c r="AG2" s="3">
        <f>MAX(E2,E3,E4,E5,J2,J3,J4,J5,O2,O3,O4,O5,T2,T3,T4,T5,Y2,Y3,Y4,Y5,AD2,AD3,AD4,AD5,E7,E8,E9,E10,E11,J7,J8,J9,J10,O7,O8,O9,O10,T7,T8,T9,T10,Y7,Y8,Y9,Y10,AD7,AD8,AD9,AD10)</f>
        <v>10374.280000000001</v>
      </c>
    </row>
    <row r="3" spans="1:34" ht="34.950000000000003" customHeight="1" x14ac:dyDescent="0.25">
      <c r="A3" s="15"/>
      <c r="B3" s="3" t="s">
        <v>18</v>
      </c>
      <c r="C3" s="4">
        <v>22</v>
      </c>
      <c r="D3" s="3">
        <f>C3*47</f>
        <v>1034</v>
      </c>
      <c r="E3" s="3">
        <f>D3-O12</f>
        <v>-9318.7199999999993</v>
      </c>
      <c r="F3" s="3"/>
      <c r="G3" s="3" t="s">
        <v>19</v>
      </c>
      <c r="H3" s="4">
        <v>321</v>
      </c>
      <c r="I3" s="3">
        <f>H3*47</f>
        <v>15087</v>
      </c>
      <c r="J3" s="3">
        <f>I3-O12</f>
        <v>4734.2800000000007</v>
      </c>
      <c r="K3" s="3"/>
      <c r="L3" s="3" t="s">
        <v>20</v>
      </c>
      <c r="M3" s="4">
        <v>221</v>
      </c>
      <c r="N3" s="3">
        <f>M3*47</f>
        <v>10387</v>
      </c>
      <c r="O3" s="3">
        <f>N3-O12</f>
        <v>34.280000000000655</v>
      </c>
      <c r="P3" s="3"/>
      <c r="Q3" s="3" t="s">
        <v>21</v>
      </c>
      <c r="R3" s="4">
        <v>212</v>
      </c>
      <c r="S3" s="3">
        <f>R3*47</f>
        <v>9964</v>
      </c>
      <c r="T3" s="3">
        <f>S3-O12</f>
        <v>-388.71999999999935</v>
      </c>
      <c r="U3" s="3"/>
      <c r="V3" s="3" t="s">
        <v>22</v>
      </c>
      <c r="W3" s="4">
        <v>321</v>
      </c>
      <c r="X3" s="3">
        <f>W3*47</f>
        <v>15087</v>
      </c>
      <c r="Y3" s="3">
        <f>X3-O12</f>
        <v>4734.2800000000007</v>
      </c>
      <c r="Z3" s="3"/>
      <c r="AA3" s="3" t="s">
        <v>23</v>
      </c>
      <c r="AB3" s="4">
        <v>123</v>
      </c>
      <c r="AC3" s="3">
        <f>AB3*47</f>
        <v>5781</v>
      </c>
      <c r="AD3" s="3">
        <f>AC3-O12</f>
        <v>-4571.7199999999993</v>
      </c>
      <c r="AE3" s="3"/>
      <c r="AG3" s="6" t="s">
        <v>24</v>
      </c>
    </row>
    <row r="4" spans="1:34" ht="34.950000000000003" customHeight="1" x14ac:dyDescent="0.25">
      <c r="A4" s="15"/>
      <c r="B4" s="3" t="s">
        <v>25</v>
      </c>
      <c r="C4" s="4">
        <v>32</v>
      </c>
      <c r="D4" s="3">
        <f>C4*47</f>
        <v>1504</v>
      </c>
      <c r="E4" s="3">
        <f>D4-O12</f>
        <v>-8848.7199999999993</v>
      </c>
      <c r="F4" s="3"/>
      <c r="G4" s="3" t="s">
        <v>26</v>
      </c>
      <c r="H4" s="4">
        <v>321</v>
      </c>
      <c r="I4" s="3">
        <f>H4*47</f>
        <v>15087</v>
      </c>
      <c r="J4" s="3">
        <f>I4-O12</f>
        <v>4734.2800000000007</v>
      </c>
      <c r="K4" s="3"/>
      <c r="L4" s="3" t="s">
        <v>27</v>
      </c>
      <c r="M4" s="4">
        <v>221</v>
      </c>
      <c r="N4" s="3">
        <f>M4*47</f>
        <v>10387</v>
      </c>
      <c r="O4" s="3">
        <f>N4-O12</f>
        <v>34.280000000000655</v>
      </c>
      <c r="P4" s="3"/>
      <c r="Q4" s="3" t="s">
        <v>28</v>
      </c>
      <c r="R4" s="4">
        <v>221</v>
      </c>
      <c r="S4" s="3">
        <f>R4*47</f>
        <v>10387</v>
      </c>
      <c r="T4" s="3">
        <f>S4-O12</f>
        <v>34.280000000000655</v>
      </c>
      <c r="U4" s="3"/>
      <c r="V4" s="3" t="s">
        <v>29</v>
      </c>
      <c r="W4" s="4">
        <v>423</v>
      </c>
      <c r="X4" s="3">
        <f>W4*47</f>
        <v>19881</v>
      </c>
      <c r="Y4" s="3">
        <f>X4-O12</f>
        <v>9528.2800000000007</v>
      </c>
      <c r="Z4" s="3"/>
      <c r="AA4" s="3" t="s">
        <v>30</v>
      </c>
      <c r="AB4" s="4">
        <v>212</v>
      </c>
      <c r="AC4" s="3">
        <f>AB4*47</f>
        <v>9964</v>
      </c>
      <c r="AD4" s="3">
        <f>AC4-O12</f>
        <v>-388.71999999999935</v>
      </c>
      <c r="AE4" s="3"/>
      <c r="AG4" s="3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33</v>
      </c>
    </row>
    <row r="5" spans="1:34" ht="34.950000000000003" customHeight="1" x14ac:dyDescent="0.25">
      <c r="A5" s="15"/>
      <c r="B5" s="3" t="s">
        <v>31</v>
      </c>
      <c r="C5" s="4">
        <v>231</v>
      </c>
      <c r="D5" s="3">
        <f>C5*47</f>
        <v>10857</v>
      </c>
      <c r="E5" s="3">
        <f>D5-O12</f>
        <v>504.28000000000065</v>
      </c>
      <c r="F5" s="3"/>
      <c r="G5" s="3" t="s">
        <v>32</v>
      </c>
      <c r="H5" s="4">
        <v>21</v>
      </c>
      <c r="I5" s="3">
        <f>H5*47</f>
        <v>987</v>
      </c>
      <c r="J5" s="3">
        <f>I5-O12</f>
        <v>-9365.7199999999993</v>
      </c>
      <c r="K5" s="3"/>
      <c r="L5" s="3" t="s">
        <v>33</v>
      </c>
      <c r="M5" s="4">
        <v>221</v>
      </c>
      <c r="N5" s="3">
        <f>M5*47</f>
        <v>10387</v>
      </c>
      <c r="O5" s="3">
        <f>N5-O12</f>
        <v>34.280000000000655</v>
      </c>
      <c r="P5" s="3"/>
      <c r="Q5" s="3" t="s">
        <v>34</v>
      </c>
      <c r="R5" s="4">
        <v>221</v>
      </c>
      <c r="S5" s="3">
        <f>R5*47</f>
        <v>10387</v>
      </c>
      <c r="T5" s="3">
        <f>S5-O12</f>
        <v>34.280000000000655</v>
      </c>
      <c r="U5" s="3"/>
      <c r="V5" s="3" t="s">
        <v>35</v>
      </c>
      <c r="W5" s="4">
        <v>221</v>
      </c>
      <c r="X5" s="3">
        <f>W5*47</f>
        <v>10387</v>
      </c>
      <c r="Y5" s="3">
        <f>X5-O12</f>
        <v>34.280000000000655</v>
      </c>
      <c r="Z5" s="3"/>
      <c r="AA5" s="3" t="s">
        <v>36</v>
      </c>
      <c r="AB5" s="4">
        <v>441</v>
      </c>
      <c r="AC5" s="3">
        <f>AB5*47</f>
        <v>20727</v>
      </c>
      <c r="AD5" s="3">
        <f>AC5-O12</f>
        <v>10374.280000000001</v>
      </c>
      <c r="AE5" s="3"/>
      <c r="AG5" s="6" t="s">
        <v>37</v>
      </c>
    </row>
    <row r="6" spans="1:34" ht="37.049999999999997" customHeight="1" x14ac:dyDescent="0.25">
      <c r="A6" s="13" t="s">
        <v>38</v>
      </c>
      <c r="B6" s="14" t="s">
        <v>39</v>
      </c>
      <c r="C6" s="1" t="s">
        <v>2</v>
      </c>
      <c r="D6" s="1" t="s">
        <v>3</v>
      </c>
      <c r="E6" s="1" t="s">
        <v>4</v>
      </c>
      <c r="F6" s="2" t="s">
        <v>5</v>
      </c>
      <c r="G6" s="14" t="s">
        <v>40</v>
      </c>
      <c r="H6" s="1" t="s">
        <v>2</v>
      </c>
      <c r="I6" s="1" t="s">
        <v>3</v>
      </c>
      <c r="J6" s="1" t="s">
        <v>4</v>
      </c>
      <c r="K6" s="2" t="s">
        <v>5</v>
      </c>
      <c r="L6" s="14" t="s">
        <v>41</v>
      </c>
      <c r="M6" s="1" t="s">
        <v>2</v>
      </c>
      <c r="N6" s="1" t="s">
        <v>3</v>
      </c>
      <c r="O6" s="1" t="s">
        <v>4</v>
      </c>
      <c r="P6" s="2" t="s">
        <v>5</v>
      </c>
      <c r="Q6" s="14" t="s">
        <v>42</v>
      </c>
      <c r="R6" s="1" t="s">
        <v>2</v>
      </c>
      <c r="S6" s="1" t="s">
        <v>3</v>
      </c>
      <c r="T6" s="1" t="s">
        <v>4</v>
      </c>
      <c r="U6" s="2" t="s">
        <v>5</v>
      </c>
      <c r="V6" s="14" t="s">
        <v>43</v>
      </c>
      <c r="W6" s="1" t="s">
        <v>2</v>
      </c>
      <c r="X6" s="1" t="s">
        <v>3</v>
      </c>
      <c r="Y6" s="1" t="s">
        <v>4</v>
      </c>
      <c r="Z6" s="2" t="s">
        <v>5</v>
      </c>
      <c r="AA6" s="14" t="s">
        <v>44</v>
      </c>
      <c r="AB6" s="1" t="s">
        <v>2</v>
      </c>
      <c r="AC6" s="1" t="s">
        <v>3</v>
      </c>
      <c r="AD6" s="1" t="s">
        <v>4</v>
      </c>
      <c r="AE6" s="2" t="s">
        <v>5</v>
      </c>
      <c r="AG6" s="3">
        <f>O12</f>
        <v>10352.719999999999</v>
      </c>
    </row>
    <row r="7" spans="1:34" ht="34.950000000000003" customHeight="1" x14ac:dyDescent="0.25">
      <c r="A7" s="15"/>
      <c r="B7" s="3" t="s">
        <v>45</v>
      </c>
      <c r="C7" s="4">
        <v>12</v>
      </c>
      <c r="D7" s="3">
        <f>C7*47</f>
        <v>564</v>
      </c>
      <c r="E7" s="3">
        <f>D7-O12</f>
        <v>-9788.7199999999993</v>
      </c>
      <c r="F7" s="3"/>
      <c r="G7" s="3" t="s">
        <v>46</v>
      </c>
      <c r="H7" s="4">
        <v>221</v>
      </c>
      <c r="I7" s="3">
        <f>H7*47</f>
        <v>10387</v>
      </c>
      <c r="J7" s="3">
        <f>I7-O12</f>
        <v>34.280000000000655</v>
      </c>
      <c r="K7" s="3"/>
      <c r="L7" s="3" t="s">
        <v>47</v>
      </c>
      <c r="M7" s="4">
        <v>312</v>
      </c>
      <c r="N7" s="3">
        <f>M7*47</f>
        <v>14664</v>
      </c>
      <c r="O7" s="3">
        <f>N7-O12</f>
        <v>4311.2800000000007</v>
      </c>
      <c r="P7" s="3"/>
      <c r="Q7" s="3" t="s">
        <v>48</v>
      </c>
      <c r="R7" s="4">
        <v>223</v>
      </c>
      <c r="S7" s="3">
        <f>R7*47</f>
        <v>10481</v>
      </c>
      <c r="T7" s="3">
        <f>S7-O12</f>
        <v>128.28000000000065</v>
      </c>
      <c r="U7" s="3"/>
      <c r="V7" s="3" t="s">
        <v>49</v>
      </c>
      <c r="W7" s="4">
        <v>221</v>
      </c>
      <c r="X7" s="3">
        <f>W7*47</f>
        <v>10387</v>
      </c>
      <c r="Y7" s="3">
        <f>X7-O12</f>
        <v>34.280000000000655</v>
      </c>
      <c r="Z7" s="3"/>
      <c r="AA7" s="3" t="s">
        <v>50</v>
      </c>
      <c r="AB7" s="4">
        <v>321</v>
      </c>
      <c r="AC7" s="3">
        <f>AB7*47</f>
        <v>15087</v>
      </c>
      <c r="AD7" s="3">
        <f>AC7-O12</f>
        <v>4734.2800000000007</v>
      </c>
      <c r="AE7" s="3"/>
      <c r="AG7" s="8" t="s">
        <v>51</v>
      </c>
    </row>
    <row r="8" spans="1:34" ht="34.950000000000003" customHeight="1" x14ac:dyDescent="0.25">
      <c r="A8" s="15"/>
      <c r="B8" s="3" t="s">
        <v>52</v>
      </c>
      <c r="C8" s="4">
        <v>43</v>
      </c>
      <c r="D8" s="3">
        <f>C8*47</f>
        <v>2021</v>
      </c>
      <c r="E8" s="3">
        <f>D8-O12</f>
        <v>-8331.7199999999993</v>
      </c>
      <c r="F8" s="3"/>
      <c r="G8" s="3" t="s">
        <v>53</v>
      </c>
      <c r="H8" s="4">
        <v>221</v>
      </c>
      <c r="I8" s="3">
        <f>H8*47</f>
        <v>10387</v>
      </c>
      <c r="J8" s="3">
        <f>I8-O12</f>
        <v>34.280000000000655</v>
      </c>
      <c r="K8" s="3"/>
      <c r="L8" s="3" t="s">
        <v>54</v>
      </c>
      <c r="M8" s="4">
        <v>221</v>
      </c>
      <c r="N8" s="3">
        <f>M8*47</f>
        <v>10387</v>
      </c>
      <c r="O8" s="3">
        <f>N8-O12</f>
        <v>34.280000000000655</v>
      </c>
      <c r="P8" s="3"/>
      <c r="Q8" s="3" t="s">
        <v>55</v>
      </c>
      <c r="R8" s="4">
        <v>421</v>
      </c>
      <c r="S8" s="3">
        <f>R8*47</f>
        <v>19787</v>
      </c>
      <c r="T8" s="3">
        <f>S8-O12</f>
        <v>9434.2800000000007</v>
      </c>
      <c r="U8" s="3"/>
      <c r="V8" s="3" t="s">
        <v>56</v>
      </c>
      <c r="W8" s="4">
        <v>334</v>
      </c>
      <c r="X8" s="3">
        <f>W8*47</f>
        <v>15698</v>
      </c>
      <c r="Y8" s="3">
        <f>X8-O12</f>
        <v>5345.2800000000007</v>
      </c>
      <c r="Z8" s="3"/>
      <c r="AA8" s="3" t="s">
        <v>57</v>
      </c>
      <c r="AB8" s="4">
        <v>221</v>
      </c>
      <c r="AC8" s="3">
        <f>AB8*47</f>
        <v>10387</v>
      </c>
      <c r="AD8" s="3">
        <f>AC8-O12</f>
        <v>34.280000000000655</v>
      </c>
      <c r="AE8" s="3"/>
      <c r="AG8" s="3">
        <f>MIN(E2,E3,E4,E5,J2,J3,J4,J5,O2,O3,O4,O5,T2,T3,T4,T5,Y2,Y3,Y4,Y5,AD2,AD3,AD4,AD5,E7,E8,E9,E10,E11,J7,J8,J9,J10,O7,O8,O9,O10,T7,T8,T9,T10,Y7,Y8,Y9,Y10,AD7,AD8,AD9,AD10)</f>
        <v>-9788.7199999999993</v>
      </c>
    </row>
    <row r="9" spans="1:34" ht="34.950000000000003" customHeight="1" x14ac:dyDescent="0.25">
      <c r="A9" s="15"/>
      <c r="B9" s="3" t="s">
        <v>58</v>
      </c>
      <c r="C9" s="4">
        <v>32</v>
      </c>
      <c r="D9" s="3">
        <f>C9*47</f>
        <v>1504</v>
      </c>
      <c r="E9" s="3">
        <f>D9-O12</f>
        <v>-8848.7199999999993</v>
      </c>
      <c r="F9" s="3"/>
      <c r="G9" s="3" t="s">
        <v>59</v>
      </c>
      <c r="H9" s="4">
        <v>12</v>
      </c>
      <c r="I9" s="3">
        <f>H9*47</f>
        <v>564</v>
      </c>
      <c r="J9" s="3">
        <f>I9-O12</f>
        <v>-9788.7199999999993</v>
      </c>
      <c r="K9" s="3"/>
      <c r="L9" s="3" t="s">
        <v>60</v>
      </c>
      <c r="M9" s="4">
        <v>221</v>
      </c>
      <c r="N9" s="3">
        <f>M9*47</f>
        <v>10387</v>
      </c>
      <c r="O9" s="3">
        <f>N9-O12</f>
        <v>34.280000000000655</v>
      </c>
      <c r="P9" s="3"/>
      <c r="Q9" s="3" t="s">
        <v>61</v>
      </c>
      <c r="R9" s="4">
        <v>321</v>
      </c>
      <c r="S9" s="3">
        <f>R9*47</f>
        <v>15087</v>
      </c>
      <c r="T9" s="3">
        <f>S9-O12</f>
        <v>4734.2800000000007</v>
      </c>
      <c r="U9" s="3"/>
      <c r="V9" s="3" t="s">
        <v>62</v>
      </c>
      <c r="W9" s="4">
        <v>331</v>
      </c>
      <c r="X9" s="3">
        <f>W9*47</f>
        <v>15557</v>
      </c>
      <c r="Y9" s="3">
        <f>X9-O12</f>
        <v>5204.2800000000007</v>
      </c>
      <c r="Z9" s="3"/>
      <c r="AA9" s="3" t="s">
        <v>63</v>
      </c>
      <c r="AB9" s="4">
        <v>212</v>
      </c>
      <c r="AC9" s="3">
        <f>AB9*47</f>
        <v>9964</v>
      </c>
      <c r="AD9" s="3">
        <f>AC9-O12</f>
        <v>-388.71999999999935</v>
      </c>
      <c r="AE9" s="3"/>
    </row>
    <row r="10" spans="1:34" ht="34.950000000000003" customHeight="1" x14ac:dyDescent="0.25">
      <c r="A10" s="15"/>
      <c r="B10" s="3" t="s">
        <v>64</v>
      </c>
      <c r="C10" s="4">
        <v>121</v>
      </c>
      <c r="D10" s="3">
        <f>C10*47</f>
        <v>5687</v>
      </c>
      <c r="E10" s="3">
        <f>D10-O12</f>
        <v>-4665.7199999999993</v>
      </c>
      <c r="F10" s="3"/>
      <c r="G10" s="3" t="s">
        <v>65</v>
      </c>
      <c r="H10" s="4">
        <v>32</v>
      </c>
      <c r="I10" s="3">
        <f>H10*47</f>
        <v>1504</v>
      </c>
      <c r="J10" s="3">
        <f>I10-O12</f>
        <v>-8848.7199999999993</v>
      </c>
      <c r="K10" s="3"/>
      <c r="L10" s="3" t="s">
        <v>66</v>
      </c>
      <c r="M10" s="4">
        <v>221</v>
      </c>
      <c r="N10" s="3">
        <f>M10*47</f>
        <v>10387</v>
      </c>
      <c r="O10" s="3">
        <f>N10-O12</f>
        <v>34.280000000000655</v>
      </c>
      <c r="P10" s="3"/>
      <c r="Q10" s="3" t="s">
        <v>67</v>
      </c>
      <c r="R10" s="4">
        <v>221</v>
      </c>
      <c r="S10" s="3">
        <f>R10*47</f>
        <v>10387</v>
      </c>
      <c r="T10" s="3">
        <f>S10-O12</f>
        <v>34.280000000000655</v>
      </c>
      <c r="U10" s="3"/>
      <c r="V10" s="3" t="s">
        <v>68</v>
      </c>
      <c r="W10" s="4">
        <v>312</v>
      </c>
      <c r="X10" s="3">
        <f>W10*47</f>
        <v>14664</v>
      </c>
      <c r="Y10" s="3">
        <f>X10-O12</f>
        <v>4311.2800000000007</v>
      </c>
      <c r="Z10" s="3"/>
      <c r="AA10" s="3" t="s">
        <v>69</v>
      </c>
      <c r="AB10" s="4">
        <v>212</v>
      </c>
      <c r="AC10" s="3">
        <f>AB10*47</f>
        <v>9964</v>
      </c>
      <c r="AD10" s="3">
        <f>AC10-O12</f>
        <v>-388.71999999999935</v>
      </c>
      <c r="AE10" s="3"/>
    </row>
    <row r="11" spans="1:34" ht="30" customHeight="1" x14ac:dyDescent="0.25">
      <c r="A11" s="15"/>
      <c r="B11" s="3" t="s">
        <v>70</v>
      </c>
      <c r="C11" s="4">
        <v>121</v>
      </c>
      <c r="D11" s="3">
        <f>C11*47</f>
        <v>5687</v>
      </c>
      <c r="E11" s="3">
        <f>D11-O12</f>
        <v>-4665.7199999999993</v>
      </c>
      <c r="F11" s="3"/>
      <c r="G11" s="5" t="s">
        <v>71</v>
      </c>
      <c r="H11" s="5" t="s">
        <v>71</v>
      </c>
      <c r="I11" s="5" t="s">
        <v>71</v>
      </c>
      <c r="J11" s="5" t="s">
        <v>71</v>
      </c>
      <c r="K11" s="5" t="s">
        <v>71</v>
      </c>
      <c r="L11" s="5" t="s">
        <v>71</v>
      </c>
      <c r="M11" s="5" t="s">
        <v>71</v>
      </c>
      <c r="N11" s="5" t="s">
        <v>71</v>
      </c>
      <c r="O11" s="5" t="s">
        <v>71</v>
      </c>
      <c r="P11" s="5" t="s">
        <v>71</v>
      </c>
      <c r="Q11" s="5" t="s">
        <v>71</v>
      </c>
      <c r="R11" s="5" t="s">
        <v>71</v>
      </c>
      <c r="S11" s="5" t="s">
        <v>71</v>
      </c>
      <c r="T11" s="5" t="s">
        <v>71</v>
      </c>
      <c r="U11" s="5" t="s">
        <v>71</v>
      </c>
      <c r="V11" s="5" t="s">
        <v>71</v>
      </c>
      <c r="W11" s="5" t="s">
        <v>71</v>
      </c>
      <c r="X11" s="5" t="s">
        <v>71</v>
      </c>
      <c r="Y11" s="5" t="s">
        <v>71</v>
      </c>
      <c r="Z11" s="5" t="s">
        <v>71</v>
      </c>
      <c r="AA11" s="5" t="s">
        <v>71</v>
      </c>
      <c r="AB11" s="5" t="s">
        <v>71</v>
      </c>
      <c r="AC11" s="5" t="s">
        <v>71</v>
      </c>
      <c r="AD11" s="5" t="s">
        <v>71</v>
      </c>
      <c r="AE11" s="5" t="s">
        <v>71</v>
      </c>
      <c r="AG11" s="9" t="s">
        <v>72</v>
      </c>
      <c r="AH11" s="10">
        <v>1500</v>
      </c>
    </row>
    <row r="12" spans="1:34" ht="43.2" customHeight="1" x14ac:dyDescent="0.25">
      <c r="A12" s="15"/>
      <c r="B12" s="6" t="s">
        <v>73</v>
      </c>
      <c r="C12" s="16">
        <f>SUM(C2,C3,C4,C5,H2,H3,H4,H5,M2,M3,M4,M5,R2,R3,R4,R5,W2,W3,W4,W5,AB2,AB3,AB4,AB5,C7,C8,C9,C10,C11,H7,H8,H9,H10,M7,M8,M9,M10,R7,R8,R9,R10,W7,W8,W9,W10,AB7,AB8,AB9,AB10)</f>
        <v>10564</v>
      </c>
      <c r="D12" s="16"/>
      <c r="E12" s="16"/>
      <c r="F12" s="16"/>
      <c r="G12" s="16"/>
      <c r="H12" s="16"/>
      <c r="I12" s="6" t="s">
        <v>74</v>
      </c>
      <c r="J12" s="16">
        <f>C12*0.02</f>
        <v>211.28</v>
      </c>
      <c r="K12" s="16"/>
      <c r="L12" s="16"/>
      <c r="M12" s="16"/>
      <c r="N12" s="6" t="s">
        <v>75</v>
      </c>
      <c r="O12" s="16">
        <f>C12-J12</f>
        <v>10352.719999999999</v>
      </c>
      <c r="P12" s="16"/>
      <c r="Q12" s="16"/>
      <c r="R12" s="16"/>
      <c r="S12" s="16"/>
      <c r="T12" s="16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G12" s="9" t="s">
        <v>76</v>
      </c>
      <c r="AH12" s="10">
        <v>19</v>
      </c>
    </row>
    <row r="13" spans="1:34" x14ac:dyDescent="0.25">
      <c r="AG13" s="8" t="s">
        <v>77</v>
      </c>
    </row>
    <row r="14" spans="1:34" ht="28.05" customHeight="1" x14ac:dyDescent="0.25">
      <c r="AG14" s="8" t="s">
        <v>78</v>
      </c>
      <c r="AH14" s="11" t="s">
        <v>81</v>
      </c>
    </row>
  </sheetData>
  <mergeCells count="3">
    <mergeCell ref="C12:H12"/>
    <mergeCell ref="J12:M12"/>
    <mergeCell ref="O12:T12"/>
  </mergeCells>
  <phoneticPr fontId="4" type="noConversion"/>
  <conditionalFormatting sqref="E2:E5">
    <cfRule type="cellIs" dxfId="11" priority="1" operator="greaterThan">
      <formula>0</formula>
    </cfRule>
  </conditionalFormatting>
  <conditionalFormatting sqref="J2:J5">
    <cfRule type="cellIs" dxfId="10" priority="2" operator="greaterThan">
      <formula>0</formula>
    </cfRule>
  </conditionalFormatting>
  <conditionalFormatting sqref="O2:O5">
    <cfRule type="cellIs" dxfId="9" priority="3" operator="greaterThan">
      <formula>0</formula>
    </cfRule>
  </conditionalFormatting>
  <conditionalFormatting sqref="T2:T5">
    <cfRule type="cellIs" dxfId="8" priority="4" operator="greaterThan">
      <formula>0</formula>
    </cfRule>
  </conditionalFormatting>
  <conditionalFormatting sqref="Y2:Y5">
    <cfRule type="cellIs" dxfId="7" priority="5" operator="greaterThan">
      <formula>0</formula>
    </cfRule>
  </conditionalFormatting>
  <conditionalFormatting sqref="AD2:AD5">
    <cfRule type="cellIs" dxfId="6" priority="6" operator="greaterThan">
      <formula>0</formula>
    </cfRule>
  </conditionalFormatting>
  <conditionalFormatting sqref="E7:E11">
    <cfRule type="cellIs" dxfId="5" priority="7" operator="greaterThan">
      <formula>0</formula>
    </cfRule>
  </conditionalFormatting>
  <conditionalFormatting sqref="J7:J10">
    <cfRule type="cellIs" dxfId="4" priority="8" operator="greaterThan">
      <formula>0</formula>
    </cfRule>
  </conditionalFormatting>
  <conditionalFormatting sqref="O7:O10">
    <cfRule type="cellIs" dxfId="3" priority="9" operator="greaterThan">
      <formula>0</formula>
    </cfRule>
  </conditionalFormatting>
  <conditionalFormatting sqref="T7:T10">
    <cfRule type="cellIs" dxfId="2" priority="10" operator="greaterThan">
      <formula>0</formula>
    </cfRule>
  </conditionalFormatting>
  <conditionalFormatting sqref="Y7:Y10">
    <cfRule type="cellIs" dxfId="1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y_hello">
                <anchor moveWithCells="1" sizeWithCells="1">
                  <from>
                    <xdr:col>18</xdr:col>
                    <xdr:colOff>38100</xdr:colOff>
                    <xdr:row>13</xdr:row>
                    <xdr:rowOff>15240</xdr:rowOff>
                  </from>
                  <to>
                    <xdr:col>20</xdr:col>
                    <xdr:colOff>502920</xdr:colOff>
                    <xdr:row>13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"/>
  <sheetViews>
    <sheetView workbookViewId="0"/>
  </sheetViews>
  <sheetFormatPr defaultRowHeight="14.4" x14ac:dyDescent="0.25"/>
  <cols>
    <col min="1" max="1" width="18.6640625" customWidth="1"/>
    <col min="2" max="3" width="14.6640625" customWidth="1"/>
    <col min="4" max="4" width="12.6640625" customWidth="1"/>
    <col min="5" max="6" width="14.6640625" customWidth="1"/>
    <col min="7" max="7" width="12.6640625" customWidth="1"/>
    <col min="8" max="8" width="14.6640625" customWidth="1"/>
    <col min="9" max="9" width="18.6640625" customWidth="1"/>
    <col min="10" max="10" width="14.6640625" customWidth="1"/>
    <col min="11" max="13" width="18.6640625" customWidth="1"/>
  </cols>
  <sheetData>
    <row r="1" spans="1:8" x14ac:dyDescent="0.25">
      <c r="A1" s="12" t="s">
        <v>79</v>
      </c>
    </row>
    <row r="2" spans="1:8" x14ac:dyDescent="0.25">
      <c r="A2" s="17" t="s">
        <v>80</v>
      </c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</sheetData>
  <mergeCells count="1">
    <mergeCell ref="A2:H3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你的名字 我的姓氏</cp:lastModifiedBy>
  <dcterms:created xsi:type="dcterms:W3CDTF">2026-04-20T21:39:56Z</dcterms:created>
  <dcterms:modified xsi:type="dcterms:W3CDTF">2026-04-20T22:10:38Z</dcterms:modified>
</cp:coreProperties>
</file>