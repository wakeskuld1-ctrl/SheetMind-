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当前盘面" sheetId="1" r:id="rId1"/>
    <sheet name="优化建议" sheetId="2" r:id="rId2"/>
  </sheets>
  <calcPr calcId="124519" fullCalcOnLoad="1"/>
</workbook>
</file>

<file path=xl/sharedStrings.xml><?xml version="1.0" encoding="utf-8"?>
<sst xmlns="http://schemas.openxmlformats.org/spreadsheetml/2006/main" count="68" uniqueCount="68">
  <si>
    <t>号码</t>
  </si>
  <si>
    <t>原始下注额</t>
  </si>
  <si>
    <t>当前盈亏额</t>
  </si>
  <si>
    <t>当前是否风险</t>
  </si>
  <si>
    <t>目标输入区</t>
  </si>
  <si>
    <t>当前测算</t>
  </si>
  <si>
    <t>01</t>
  </si>
  <si>
    <t>最大亏损目标值</t>
  </si>
  <si>
    <t>当前总下注额</t>
  </si>
  <si>
    <t>赔率</t>
  </si>
  <si>
    <t>02</t>
  </si>
  <si>
    <t>目标亏损号码数</t>
  </si>
  <si>
    <t>当前返水</t>
  </si>
  <si>
    <t>返水率</t>
  </si>
  <si>
    <t>03</t>
  </si>
  <si>
    <t>当前可赔付本金</t>
  </si>
  <si>
    <t>04</t>
  </si>
  <si>
    <t>业务操作</t>
  </si>
  <si>
    <t>当前最大亏损</t>
  </si>
  <si>
    <t>05</t>
  </si>
  <si>
    <t>点击按钮后生成优化建议</t>
  </si>
  <si>
    <t>当前亏损号码数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</si>
  <si>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</si>
  <si>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</si>
  <si>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</si>
  <si>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</si>
  <si>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</si>
  <si>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</si>
  <si>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</si>
  <si>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</si>
  <si>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</si>
  <si>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</si>
  <si>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</si>
  <si>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</si>
  <si>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</si>
  <si>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</si>
  <si>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</si>
  <si>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</si>
  <si>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</si>
  <si>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</si>
  <si>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</si>
  <si>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</si>
  <si>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</si>
  <si>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</si>
  <si>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</si>
  <si>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</si>
  <si>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</si>
  <si>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</si>
  <si>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</si>
  <si>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</si>
  <si>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</si>
  <si>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</si>
  <si>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</si>
  <si>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</si>
  <si>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</si>
  <si>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</si>
  <si>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</si>
  <si>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</si>
  <si>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</si>
  <si>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</si>
  <si>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</si>
  <si>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</si>
  <si>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</si>
  <si>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</si>
  <si>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</si>
  <si>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</si>
  <si>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优化摘要</t>
  </si>
  <si>
    <t>请在第一页录入数据后点击测算。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</si>
</sst>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50"/>
  <sheetViews>
    <sheetView tabSelected="1" workbookViewId="0"/>
  </sheetViews>
  <sheetFormatPr defaultRowHeight="15"/>
  <cols>
    <col min="1" max="1" width="10.7109375" customWidth="1"/>
    <col min="2" max="2" width="12.7109375" customWidth="1"/>
    <col min="3" max="3" width="14.7109375" customWidth="1"/>
    <col min="4" max="4" width="12.7109375" customWidth="1"/>
    <col min="5" max="5" width="18.7109375" customWidth="1"/>
    <col min="6" max="6" width="14.7109375" customWidth="1"/>
    <col min="8" max="8" width="18.7109375" customWidth="1"/>
    <col min="9" max="9" width="14.7109375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5</v>
      </c>
    </row>
    <row r="2" spans="1:11">
      <c r="A2" t="s">
        <v>6</v>
      </c>
      <c r="B2">
        <v>0</v>
      </c>
      <c r="C2">
        <f>B2*$J$2-$I$4</f>
        <v>0</v>
      </c>
      <c r="D2">
        <f>IF(C2&gt;0,"是","否")</f>
        <v>0</v>
      </c>
      <c r="E2" t="s">
        <v>7</v>
      </c>
      <c r="F2">
        <v>1500</v>
      </c>
      <c r="H2" t="s">
        <v>8</v>
      </c>
      <c r="I2">
        <f>SUM(B2:B50)</f>
        <v>0</v>
      </c>
      <c r="J2" t="s">
        <v>9</v>
      </c>
      <c r="K2">
        <v>47</v>
      </c>
    </row>
    <row r="3" spans="1:11">
      <c r="A3" t="s">
        <v>10</v>
      </c>
      <c r="B3">
        <v>0</v>
      </c>
      <c r="C3">
        <f>B3*$J$2-$I$4</f>
        <v>0</v>
      </c>
      <c r="D3">
        <f>IF(C3&gt;0,"是","否")</f>
        <v>0</v>
      </c>
      <c r="E3" t="s">
        <v>11</v>
      </c>
      <c r="F3">
        <v>19</v>
      </c>
      <c r="H3" t="s">
        <v>12</v>
      </c>
      <c r="I3">
        <f>I2*$K$2</f>
        <v>0</v>
      </c>
      <c r="J3" t="s">
        <v>13</v>
      </c>
      <c r="K3">
        <v>0.02</v>
      </c>
    </row>
    <row r="4" spans="1:11">
      <c r="A4" t="s">
        <v>14</v>
      </c>
      <c r="B4">
        <v>0</v>
      </c>
      <c r="C4">
        <f>B4*$J$2-$I$4</f>
        <v>0</v>
      </c>
      <c r="D4">
        <f>IF(C4&gt;0,"是","否")</f>
        <v>0</v>
      </c>
      <c r="H4" t="s">
        <v>15</v>
      </c>
      <c r="I4">
        <f>I2-I3</f>
        <v>0</v>
      </c>
    </row>
    <row r="5" spans="1:11">
      <c r="A5" t="s">
        <v>16</v>
      </c>
      <c r="B5">
        <v>0</v>
      </c>
      <c r="C5">
        <f>B5*$J$2-$I$4</f>
        <v>0</v>
      </c>
      <c r="D5">
        <f>IF(C5&gt;0,"是","否")</f>
        <v>0</v>
      </c>
      <c r="E5" t="s">
        <v>17</v>
      </c>
      <c r="H5" t="s">
        <v>18</v>
      </c>
      <c r="I5">
        <f>MAX(C2:C50)</f>
        <v>0</v>
      </c>
    </row>
    <row r="6" spans="1:11">
      <c r="A6" t="s">
        <v>19</v>
      </c>
      <c r="B6">
        <v>0</v>
      </c>
      <c r="C6">
        <f>B6*$J$2-$I$4</f>
        <v>0</v>
      </c>
      <c r="D6">
        <f>IF(C6&gt;0,"是","否")</f>
        <v>0</v>
      </c>
      <c r="E6" t="s">
        <v>20</v>
      </c>
      <c r="H6" t="s">
        <v>21</v>
      </c>
      <c r="I6">
        <f>COUNTIF(C2:C50,"&gt;0")</f>
        <v>0</v>
      </c>
    </row>
    <row r="7" spans="1:11">
      <c r="A7" t="s">
        <v>22</v>
      </c>
      <c r="B7">
        <v>0</v>
      </c>
      <c r="C7">
        <f>B7*$J$2-$I$4</f>
        <v>0</v>
      </c>
      <c r="D7">
        <f>IF(C7&gt;0,"是","否")</f>
        <v>0</v>
      </c>
    </row>
    <row r="8" spans="1:11">
      <c r="A8" t="s">
        <v>23</v>
      </c>
      <c r="B8">
        <v>0</v>
      </c>
      <c r="C8">
        <f>B8*$J$2-$I$4</f>
        <v>0</v>
      </c>
      <c r="D8">
        <f>IF(C8&gt;0,"是","否")</f>
        <v>0</v>
      </c>
    </row>
    <row r="9" spans="1:11">
      <c r="A9" t="s">
        <v>24</v>
      </c>
      <c r="B9">
        <v>0</v>
      </c>
      <c r="C9">
        <f>B9*$J$2-$I$4</f>
        <v>0</v>
      </c>
      <c r="D9">
        <f>IF(C9&gt;0,"是","否")</f>
        <v>0</v>
      </c>
    </row>
    <row r="10" spans="1:11">
      <c r="A10" t="s">
        <v>25</v>
      </c>
      <c r="B10">
        <v>0</v>
      </c>
      <c r="C10">
        <f>B10*$J$2-$I$4</f>
        <v>0</v>
      </c>
      <c r="D10">
        <f>IF(C10&gt;0,"是","否")</f>
        <v>0</v>
      </c>
    </row>
    <row r="11" spans="1:11">
      <c r="A11" t="s">
        <v>26</v>
      </c>
      <c r="B11">
        <v>0</v>
      </c>
      <c r="C11">
        <f>B11*$J$2-$I$4</f>
        <v>0</v>
      </c>
      <c r="D11">
        <f>IF(C11&gt;0,"是","否")</f>
        <v>0</v>
      </c>
    </row>
    <row r="12" spans="1:11">
      <c r="A12" t="s">
        <v>27</v>
      </c>
      <c r="B12">
        <v>0</v>
      </c>
      <c r="C12">
        <f>B12*$J$2-$I$4</f>
        <v>0</v>
      </c>
      <c r="D12">
        <f>IF(C12&gt;0,"是","否")</f>
        <v>0</v>
      </c>
    </row>
    <row r="13" spans="1:11">
      <c r="A13" t="s">
        <v>28</v>
      </c>
      <c r="B13">
        <v>0</v>
      </c>
      <c r="C13">
        <f>B13*$J$2-$I$4</f>
        <v>0</v>
      </c>
      <c r="D13">
        <f>IF(C13&gt;0,"是","否")</f>
        <v>0</v>
      </c>
    </row>
    <row r="14" spans="1:11">
      <c r="A14" t="s">
        <v>29</v>
      </c>
      <c r="B14">
        <v>0</v>
      </c>
      <c r="C14">
        <f>B14*$J$2-$I$4</f>
        <v>0</v>
      </c>
      <c r="D14">
        <f>IF(C14&gt;0,"是","否")</f>
        <v>0</v>
      </c>
    </row>
    <row r="15" spans="1:11">
      <c r="A15" t="s">
        <v>30</v>
      </c>
      <c r="B15">
        <v>0</v>
      </c>
      <c r="C15">
        <f>B15*$J$2-$I$4</f>
        <v>0</v>
      </c>
      <c r="D15">
        <f>IF(C15&gt;0,"是","否")</f>
        <v>0</v>
      </c>
    </row>
    <row r="16" spans="1:11">
      <c r="A16" t="s">
        <v>31</v>
      </c>
      <c r="B16">
        <v>0</v>
      </c>
      <c r="C16">
        <f>B16*$J$2-$I$4</f>
        <v>0</v>
      </c>
      <c r="D16">
        <f>IF(C16&gt;0,"是","否")</f>
        <v>0</v>
      </c>
    </row>
    <row r="17" spans="1:4">
      <c r="A17" t="s">
        <v>32</v>
      </c>
      <c r="B17">
        <v>0</v>
      </c>
      <c r="C17">
        <f>B17*$J$2-$I$4</f>
        <v>0</v>
      </c>
      <c r="D17">
        <f>IF(C17&gt;0,"是","否")</f>
        <v>0</v>
      </c>
    </row>
    <row r="18" spans="1:4">
      <c r="A18" t="s">
        <v>33</v>
      </c>
      <c r="B18">
        <v>0</v>
      </c>
      <c r="C18">
        <f>B18*$J$2-$I$4</f>
        <v>0</v>
      </c>
      <c r="D18">
        <f>IF(C18&gt;0,"是","否")</f>
        <v>0</v>
      </c>
    </row>
    <row r="19" spans="1:4">
      <c r="A19" t="s">
        <v>34</v>
      </c>
      <c r="B19">
        <v>0</v>
      </c>
      <c r="C19">
        <f>B19*$J$2-$I$4</f>
        <v>0</v>
      </c>
      <c r="D19">
        <f>IF(C19&gt;0,"是","否")</f>
        <v>0</v>
      </c>
    </row>
    <row r="20" spans="1:4">
      <c r="A20" t="s">
        <v>35</v>
      </c>
      <c r="B20">
        <v>0</v>
      </c>
      <c r="C20">
        <f>B20*$J$2-$I$4</f>
        <v>0</v>
      </c>
      <c r="D20">
        <f>IF(C20&gt;0,"是","否")</f>
        <v>0</v>
      </c>
    </row>
    <row r="21" spans="1:4">
      <c r="A21" t="s">
        <v>36</v>
      </c>
      <c r="B21">
        <v>0</v>
      </c>
      <c r="C21">
        <f>B21*$J$2-$I$4</f>
        <v>0</v>
      </c>
      <c r="D21">
        <f>IF(C21&gt;0,"是","否")</f>
        <v>0</v>
      </c>
    </row>
    <row r="22" spans="1:4">
      <c r="A22" t="s">
        <v>37</v>
      </c>
      <c r="B22">
        <v>0</v>
      </c>
      <c r="C22">
        <f>B22*$J$2-$I$4</f>
        <v>0</v>
      </c>
      <c r="D22">
        <f>IF(C22&gt;0,"是","否")</f>
        <v>0</v>
      </c>
    </row>
    <row r="23" spans="1:4">
      <c r="A23" t="s">
        <v>38</v>
      </c>
      <c r="B23">
        <v>0</v>
      </c>
      <c r="C23">
        <f>B23*$J$2-$I$4</f>
        <v>0</v>
      </c>
      <c r="D23">
        <f>IF(C23&gt;0,"是","否")</f>
        <v>0</v>
      </c>
    </row>
    <row r="24" spans="1:4">
      <c r="A24" t="s">
        <v>39</v>
      </c>
      <c r="B24">
        <v>0</v>
      </c>
      <c r="C24">
        <f>B24*$J$2-$I$4</f>
        <v>0</v>
      </c>
      <c r="D24">
        <f>IF(C24&gt;0,"是","否")</f>
        <v>0</v>
      </c>
    </row>
    <row r="25" spans="1:4">
      <c r="A25" t="s">
        <v>40</v>
      </c>
      <c r="B25">
        <v>0</v>
      </c>
      <c r="C25">
        <f>B25*$J$2-$I$4</f>
        <v>0</v>
      </c>
      <c r="D25">
        <f>IF(C25&gt;0,"是","否")</f>
        <v>0</v>
      </c>
    </row>
    <row r="26" spans="1:4">
      <c r="A26" t="s">
        <v>41</v>
      </c>
      <c r="B26">
        <v>0</v>
      </c>
      <c r="C26">
        <f>B26*$J$2-$I$4</f>
        <v>0</v>
      </c>
      <c r="D26">
        <f>IF(C26&gt;0,"是","否")</f>
        <v>0</v>
      </c>
    </row>
    <row r="27" spans="1:4">
      <c r="A27" t="s">
        <v>42</v>
      </c>
      <c r="B27">
        <v>0</v>
      </c>
      <c r="C27">
        <f>B27*$J$2-$I$4</f>
        <v>0</v>
      </c>
      <c r="D27">
        <f>IF(C27&gt;0,"是","否")</f>
        <v>0</v>
      </c>
    </row>
    <row r="28" spans="1:4">
      <c r="A28" t="s">
        <v>43</v>
      </c>
      <c r="B28">
        <v>0</v>
      </c>
      <c r="C28">
        <f>B28*$J$2-$I$4</f>
        <v>0</v>
      </c>
      <c r="D28">
        <f>IF(C28&gt;0,"是","否")</f>
        <v>0</v>
      </c>
    </row>
    <row r="29" spans="1:4">
      <c r="A29" t="s">
        <v>44</v>
      </c>
      <c r="B29">
        <v>0</v>
      </c>
      <c r="C29">
        <f>B29*$J$2-$I$4</f>
        <v>0</v>
      </c>
      <c r="D29">
        <f>IF(C29&gt;0,"是","否")</f>
        <v>0</v>
      </c>
    </row>
    <row r="30" spans="1:4">
      <c r="A30" t="s">
        <v>45</v>
      </c>
      <c r="B30">
        <v>0</v>
      </c>
      <c r="C30">
        <f>B30*$J$2-$I$4</f>
        <v>0</v>
      </c>
      <c r="D30">
        <f>IF(C30&gt;0,"是","否")</f>
        <v>0</v>
      </c>
    </row>
    <row r="31" spans="1:4">
      <c r="A31" t="s">
        <v>46</v>
      </c>
      <c r="B31">
        <v>0</v>
      </c>
      <c r="C31">
        <f>B31*$J$2-$I$4</f>
        <v>0</v>
      </c>
      <c r="D31">
        <f>IF(C31&gt;0,"是","否")</f>
        <v>0</v>
      </c>
    </row>
    <row r="32" spans="1:4">
      <c r="A32" t="s">
        <v>47</v>
      </c>
      <c r="B32">
        <v>0</v>
      </c>
      <c r="C32">
        <f>B32*$J$2-$I$4</f>
        <v>0</v>
      </c>
      <c r="D32">
        <f>IF(C32&gt;0,"是","否")</f>
        <v>0</v>
      </c>
    </row>
    <row r="33" spans="1:4">
      <c r="A33" t="s">
        <v>48</v>
      </c>
      <c r="B33">
        <v>0</v>
      </c>
      <c r="C33">
        <f>B33*$J$2-$I$4</f>
        <v>0</v>
      </c>
      <c r="D33">
        <f>IF(C33&gt;0,"是","否")</f>
        <v>0</v>
      </c>
    </row>
    <row r="34" spans="1:4">
      <c r="A34" t="s">
        <v>49</v>
      </c>
      <c r="B34">
        <v>0</v>
      </c>
      <c r="C34">
        <f>B34*$J$2-$I$4</f>
        <v>0</v>
      </c>
      <c r="D34">
        <f>IF(C34&gt;0,"是","否")</f>
        <v>0</v>
      </c>
    </row>
    <row r="35" spans="1:4">
      <c r="A35" t="s">
        <v>50</v>
      </c>
      <c r="B35">
        <v>0</v>
      </c>
      <c r="C35">
        <f>B35*$J$2-$I$4</f>
        <v>0</v>
      </c>
      <c r="D35">
        <f>IF(C35&gt;0,"是","否")</f>
        <v>0</v>
      </c>
    </row>
    <row r="36" spans="1:4">
      <c r="A36" t="s">
        <v>51</v>
      </c>
      <c r="B36">
        <v>0</v>
      </c>
      <c r="C36">
        <f>B36*$J$2-$I$4</f>
        <v>0</v>
      </c>
      <c r="D36">
        <f>IF(C36&gt;0,"是","否")</f>
        <v>0</v>
      </c>
    </row>
    <row r="37" spans="1:4">
      <c r="A37" t="s">
        <v>52</v>
      </c>
      <c r="B37">
        <v>0</v>
      </c>
      <c r="C37">
        <f>B37*$J$2-$I$4</f>
        <v>0</v>
      </c>
      <c r="D37">
        <f>IF(C37&gt;0,"是","否")</f>
        <v>0</v>
      </c>
    </row>
    <row r="38" spans="1:4">
      <c r="A38" t="s">
        <v>53</v>
      </c>
      <c r="B38">
        <v>0</v>
      </c>
      <c r="C38">
        <f>B38*$J$2-$I$4</f>
        <v>0</v>
      </c>
      <c r="D38">
        <f>IF(C38&gt;0,"是","否")</f>
        <v>0</v>
      </c>
    </row>
    <row r="39" spans="1:4">
      <c r="A39" t="s">
        <v>54</v>
      </c>
      <c r="B39">
        <v>0</v>
      </c>
      <c r="C39">
        <f>B39*$J$2-$I$4</f>
        <v>0</v>
      </c>
      <c r="D39">
        <f>IF(C39&gt;0,"是","否")</f>
        <v>0</v>
      </c>
    </row>
    <row r="40" spans="1:4">
      <c r="A40" t="s">
        <v>55</v>
      </c>
      <c r="B40">
        <v>0</v>
      </c>
      <c r="C40">
        <f>B40*$J$2-$I$4</f>
        <v>0</v>
      </c>
      <c r="D40">
        <f>IF(C40&gt;0,"是","否")</f>
        <v>0</v>
      </c>
    </row>
    <row r="41" spans="1:4">
      <c r="A41" t="s">
        <v>56</v>
      </c>
      <c r="B41">
        <v>0</v>
      </c>
      <c r="C41">
        <f>B41*$J$2-$I$4</f>
        <v>0</v>
      </c>
      <c r="D41">
        <f>IF(C41&gt;0,"是","否")</f>
        <v>0</v>
      </c>
    </row>
    <row r="42" spans="1:4">
      <c r="A42" t="s">
        <v>57</v>
      </c>
      <c r="B42">
        <v>0</v>
      </c>
      <c r="C42">
        <f>B42*$J$2-$I$4</f>
        <v>0</v>
      </c>
      <c r="D42">
        <f>IF(C42&gt;0,"是","否")</f>
        <v>0</v>
      </c>
    </row>
    <row r="43" spans="1:4">
      <c r="A43" t="s">
        <v>58</v>
      </c>
      <c r="B43">
        <v>0</v>
      </c>
      <c r="C43">
        <f>B43*$J$2-$I$4</f>
        <v>0</v>
      </c>
      <c r="D43">
        <f>IF(C43&gt;0,"是","否")</f>
        <v>0</v>
      </c>
    </row>
    <row r="44" spans="1:4">
      <c r="A44" t="s">
        <v>59</v>
      </c>
      <c r="B44">
        <v>0</v>
      </c>
      <c r="C44">
        <f>B44*$J$2-$I$4</f>
        <v>0</v>
      </c>
      <c r="D44">
        <f>IF(C44&gt;0,"是","否")</f>
        <v>0</v>
      </c>
    </row>
    <row r="45" spans="1:4">
      <c r="A45" t="s">
        <v>60</v>
      </c>
      <c r="B45">
        <v>0</v>
      </c>
      <c r="C45">
        <f>B45*$J$2-$I$4</f>
        <v>0</v>
      </c>
      <c r="D45">
        <f>IF(C45&gt;0,"是","否")</f>
        <v>0</v>
      </c>
    </row>
    <row r="46" spans="1:4">
      <c r="A46" t="s">
        <v>61</v>
      </c>
      <c r="B46">
        <v>0</v>
      </c>
      <c r="C46">
        <f>B46*$J$2-$I$4</f>
        <v>0</v>
      </c>
      <c r="D46">
        <f>IF(C46&gt;0,"是","否")</f>
        <v>0</v>
      </c>
    </row>
    <row r="47" spans="1:4">
      <c r="A47" t="s">
        <v>62</v>
      </c>
      <c r="B47">
        <v>0</v>
      </c>
      <c r="C47">
        <f>B47*$J$2-$I$4</f>
        <v>0</v>
      </c>
      <c r="D47">
        <f>IF(C47&gt;0,"是","否")</f>
        <v>0</v>
      </c>
    </row>
    <row r="48" spans="1:4">
      <c r="A48" t="s">
        <v>63</v>
      </c>
      <c r="B48">
        <v>0</v>
      </c>
      <c r="C48">
        <f>B48*$J$2-$I$4</f>
        <v>0</v>
      </c>
      <c r="D48">
        <f>IF(C48&gt;0,"是","否")</f>
        <v>0</v>
      </c>
    </row>
    <row r="49" spans="1:4">
      <c r="A49" t="s">
        <v>64</v>
      </c>
      <c r="B49">
        <v>0</v>
      </c>
      <c r="C49">
        <f>B49*$J$2-$I$4</f>
        <v>0</v>
      </c>
      <c r="D49">
        <f>IF(C49&gt;0,"是","否")</f>
        <v>0</v>
      </c>
    </row>
    <row r="50" spans="1:4">
      <c r="A50" t="s">
        <v>65</v>
      </c>
      <c r="B50">
        <v>0</v>
      </c>
      <c r="C50">
        <f>B50*$J$2-$I$4</f>
        <v>0</v>
      </c>
      <c r="D50">
        <f>IF(C50&gt;0,"是","否")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</cols>
  <sheetData>
    <row r="1" spans="1:1">
      <c r="A1" t="s">
        <v>66</v>
      </c>
    </row>
    <row r="2" spans="1:1">
      <c r="A2" t="s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当前盘面</vt:lpstr>
      <vt:lpstr>优化建议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2026-04-20T13:13:22Z</dcterms:created>
  <dcterms:modified xsi:type="dcterms:W3CDTF">2026-04-20T13:13:22Z</dcterms:modified>
</cp:coreProperties>
</file>