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计算器" sheetId="1" r:id="rId1"/>
    <sheet name="优化建议_第1轮" sheetId="2" r:id="rId2"/>
  </sheets>
  <calcPr calcId="124519" fullCalcOnLoad="1"/>
</workbook>
</file>

<file path=xl/sharedStrings.xml><?xml version="1.0" encoding="utf-8"?>
<sst xmlns="http://schemas.openxmlformats.org/spreadsheetml/2006/main" count="374" uniqueCount="110">
  <si>
    <t>双</t>
  </si>
  <si>
    <t>蛇</t>
  </si>
  <si>
    <t>特下注额（需要填写）</t>
  </si>
  <si>
    <t>赔付额</t>
  </si>
  <si>
    <t>亏损额</t>
  </si>
  <si>
    <t>建议修改</t>
  </si>
  <si>
    <t>兔</t>
  </si>
  <si>
    <t>牛</t>
  </si>
  <si>
    <t>猪</t>
  </si>
  <si>
    <t>鸡</t>
  </si>
  <si>
    <t>羊</t>
  </si>
  <si>
    <t>当前亏损最大值</t>
  </si>
  <si>
    <t>02</t>
  </si>
  <si>
    <t>04</t>
  </si>
  <si>
    <t>06</t>
  </si>
  <si>
    <t>08</t>
  </si>
  <si>
    <t>10</t>
  </si>
  <si>
    <t>12</t>
  </si>
  <si>
    <t>14</t>
  </si>
  <si>
    <t>16</t>
  </si>
  <si>
    <t>18</t>
  </si>
  <si>
    <t>20</t>
  </si>
  <si>
    <t>22</t>
  </si>
  <si>
    <t>24</t>
  </si>
  <si>
    <t>当前亏损号码数</t>
  </si>
  <si>
    <t>26</t>
  </si>
  <si>
    <t>28</t>
  </si>
  <si>
    <t>30</t>
  </si>
  <si>
    <t>32</t>
  </si>
  <si>
    <t>34</t>
  </si>
  <si>
    <t>36</t>
  </si>
  <si>
    <t>38</t>
  </si>
  <si>
    <t>40</t>
  </si>
  <si>
    <t>42</t>
  </si>
  <si>
    <t>44</t>
  </si>
  <si>
    <t>46</t>
  </si>
  <si>
    <t>48</t>
  </si>
  <si>
    <t>当前可赔付本金</t>
  </si>
  <si>
    <t>单</t>
  </si>
  <si>
    <t>马</t>
  </si>
  <si>
    <t>龙</t>
  </si>
  <si>
    <t>虎</t>
  </si>
  <si>
    <t>鼠</t>
  </si>
  <si>
    <t>狗</t>
  </si>
  <si>
    <t>猴</t>
  </si>
  <si>
    <t>01</t>
  </si>
  <si>
    <t>03</t>
  </si>
  <si>
    <t>05</t>
  </si>
  <si>
    <t>07</t>
  </si>
  <si>
    <t>09</t>
  </si>
  <si>
    <t>11</t>
  </si>
  <si>
    <t>当前最大盈利值</t>
  </si>
  <si>
    <t>13</t>
  </si>
  <si>
    <t>15</t>
  </si>
  <si>
    <t>17</t>
  </si>
  <si>
    <t>19</t>
  </si>
  <si>
    <t>21</t>
  </si>
  <si>
    <t>23</t>
  </si>
  <si>
    <t>25</t>
  </si>
  <si>
    <t>27</t>
  </si>
  <si>
    <t>29</t>
  </si>
  <si>
    <t>31</t>
  </si>
  <si>
    <t>33</t>
  </si>
  <si>
    <t>35</t>
  </si>
  <si>
    <t>37</t>
  </si>
  <si>
    <t>39</t>
  </si>
  <si>
    <t>41</t>
  </si>
  <si>
    <t>43</t>
  </si>
  <si>
    <t>45</t>
  </si>
  <si>
    <t>47</t>
  </si>
  <si>
    <t>49</t>
  </si>
  <si>
    <t>/</t>
  </si>
  <si>
    <t>最大亏损目标值（需要填写）</t>
  </si>
  <si>
    <t>总下注额度</t>
  </si>
  <si>
    <t>返水</t>
  </si>
  <si>
    <t>可赔付本金</t>
  </si>
  <si>
    <t>目标亏损号码数（需要填写）</t>
  </si>
  <si>
    <t>业务操作</t>
  </si>
  <si>
    <t>求解状态</t>
  </si>
  <si>
    <t>待测算</t>
  </si>
  <si>
    <t>优化摘要</t>
  </si>
  <si>
    <t>当前方案最大亏损为0，已不高于目标1500。在仅允许下调当前风险号码且保持整数下注的前提下，本次无需退款，亏损号码数保持为0。</t>
  </si>
  <si>
    <t>来源页</t>
  </si>
  <si>
    <t>计算器</t>
  </si>
  <si>
    <t>本轮结果页</t>
  </si>
  <si>
    <t>优化建议_第1轮</t>
  </si>
  <si>
    <t>指标</t>
  </si>
  <si>
    <t>当前</t>
  </si>
  <si>
    <t>建议</t>
  </si>
  <si>
    <t>最大计划亏损目标</t>
  </si>
  <si>
    <t>总下注额</t>
  </si>
  <si>
    <t>目标亏损号码数</t>
  </si>
  <si>
    <t>总退款额</t>
  </si>
  <si>
    <t>最大亏损</t>
  </si>
  <si>
    <t>本轮测算完成，可在本页填写人工约束后再次测算</t>
  </si>
  <si>
    <t>号码</t>
  </si>
  <si>
    <t>当前基线下注额</t>
  </si>
  <si>
    <t>建议下注额</t>
  </si>
  <si>
    <t>退款额</t>
  </si>
  <si>
    <t>当前盈亏额</t>
  </si>
  <si>
    <t>调整后盈亏额</t>
  </si>
  <si>
    <t>当前是否风险</t>
  </si>
  <si>
    <t>是否建议下调</t>
  </si>
  <si>
    <t>下轮基线下注额（需要填写）</t>
  </si>
  <si>
    <t>手工锁定下轮下注额（需要填写，可留空）</t>
  </si>
  <si>
    <t>本轮最多可退款金额（需要填写，可留空）</t>
  </si>
  <si>
    <t>对应最低保留下注额</t>
  </si>
  <si>
    <t>人工约束状态</t>
  </si>
  <si>
    <t>否</t>
  </si>
  <si>
    <t>未设置</t>
  </si>
</sst>
</file>

<file path=xl/styles.xml><?xml version="1.0" encoding="utf-8"?>
<styleSheet xmlns="http://schemas.openxmlformats.org/spreadsheetml/2006/main">
  <numFmts count="2">
    <numFmt numFmtId="164" formatCode="0.00"/>
    <numFmt numFmtId="165" formatCode="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165" fontId="0" fillId="2" borderId="2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14"/>
  <sheetViews>
    <sheetView tabSelected="1" workbookViewId="0"/>
  </sheetViews>
  <sheetFormatPr defaultRowHeight="15"/>
  <cols>
    <col min="1" max="1" width="4" customWidth="1"/>
    <col min="2" max="2" width="5" customWidth="1"/>
    <col min="3" max="3" width="11.28515625" customWidth="1"/>
    <col min="4" max="5" width="8.7109375" customWidth="1"/>
    <col min="6" max="6" width="8.28515625" customWidth="1"/>
    <col min="7" max="7" width="5" customWidth="1"/>
    <col min="8" max="8" width="11.28515625" customWidth="1"/>
    <col min="9" max="10" width="8.7109375" customWidth="1"/>
    <col min="11" max="11" width="8.28515625" customWidth="1"/>
    <col min="12" max="12" width="5" customWidth="1"/>
    <col min="13" max="13" width="11.28515625" customWidth="1"/>
    <col min="14" max="15" width="8.7109375" customWidth="1"/>
    <col min="16" max="16" width="8.28515625" customWidth="1"/>
    <col min="17" max="17" width="5" customWidth="1"/>
    <col min="18" max="18" width="11.28515625" customWidth="1"/>
    <col min="19" max="20" width="8.7109375" customWidth="1"/>
    <col min="21" max="21" width="8.28515625" customWidth="1"/>
    <col min="22" max="22" width="5" customWidth="1"/>
    <col min="23" max="23" width="11.28515625" customWidth="1"/>
    <col min="24" max="25" width="8.7109375" customWidth="1"/>
    <col min="26" max="26" width="8.28515625" customWidth="1"/>
    <col min="27" max="27" width="5" customWidth="1"/>
    <col min="28" max="28" width="11.28515625" customWidth="1"/>
    <col min="29" max="30" width="8.7109375" customWidth="1"/>
    <col min="31" max="31" width="8.28515625" customWidth="1"/>
    <col min="32" max="32" width="13.7109375" customWidth="1"/>
    <col min="33" max="33" width="19.42578125" customWidth="1"/>
    <col min="34" max="34" width="13.7109375" customWidth="1"/>
  </cols>
  <sheetData>
    <row r="1" spans="1:34" ht="31.95" customHeight="1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2" t="s">
        <v>6</v>
      </c>
      <c r="H1" s="3" t="s">
        <v>2</v>
      </c>
      <c r="I1" s="3" t="s">
        <v>3</v>
      </c>
      <c r="J1" s="3" t="s">
        <v>4</v>
      </c>
      <c r="K1" s="4" t="s">
        <v>5</v>
      </c>
      <c r="L1" s="2" t="s">
        <v>7</v>
      </c>
      <c r="M1" s="3" t="s">
        <v>2</v>
      </c>
      <c r="N1" s="3" t="s">
        <v>3</v>
      </c>
      <c r="O1" s="3" t="s">
        <v>4</v>
      </c>
      <c r="P1" s="4" t="s">
        <v>5</v>
      </c>
      <c r="Q1" s="2" t="s">
        <v>8</v>
      </c>
      <c r="R1" s="3" t="s">
        <v>2</v>
      </c>
      <c r="S1" s="3" t="s">
        <v>3</v>
      </c>
      <c r="T1" s="3" t="s">
        <v>4</v>
      </c>
      <c r="U1" s="4" t="s">
        <v>5</v>
      </c>
      <c r="V1" s="2" t="s">
        <v>9</v>
      </c>
      <c r="W1" s="3" t="s">
        <v>2</v>
      </c>
      <c r="X1" s="3" t="s">
        <v>3</v>
      </c>
      <c r="Y1" s="3" t="s">
        <v>4</v>
      </c>
      <c r="Z1" s="4" t="s">
        <v>5</v>
      </c>
      <c r="AA1" s="2" t="s">
        <v>10</v>
      </c>
      <c r="AB1" s="3" t="s">
        <v>2</v>
      </c>
      <c r="AC1" s="3" t="s">
        <v>3</v>
      </c>
      <c r="AD1" s="3" t="s">
        <v>4</v>
      </c>
      <c r="AE1" s="4" t="s">
        <v>5</v>
      </c>
      <c r="AG1" s="9" t="s">
        <v>11</v>
      </c>
    </row>
    <row r="2" spans="1:34" ht="34.95" customHeight="1">
      <c r="B2" s="5" t="s">
        <v>12</v>
      </c>
      <c r="C2" s="6">
        <v>0</v>
      </c>
      <c r="D2" s="5">
        <f>C2*47</f>
        <v>0</v>
      </c>
      <c r="E2" s="5">
        <f>D2-O12</f>
        <v>0</v>
      </c>
      <c r="F2" s="5"/>
      <c r="G2" s="5" t="s">
        <v>13</v>
      </c>
      <c r="H2" s="6">
        <v>0</v>
      </c>
      <c r="I2" s="5">
        <f>H2*47</f>
        <v>0</v>
      </c>
      <c r="J2" s="5">
        <f>I2-O12</f>
        <v>0</v>
      </c>
      <c r="K2" s="5"/>
      <c r="L2" s="5" t="s">
        <v>14</v>
      </c>
      <c r="M2" s="6">
        <v>0</v>
      </c>
      <c r="N2" s="5">
        <f>M2*47</f>
        <v>0</v>
      </c>
      <c r="O2" s="5">
        <f>N2-O12</f>
        <v>0</v>
      </c>
      <c r="P2" s="5"/>
      <c r="Q2" s="5" t="s">
        <v>15</v>
      </c>
      <c r="R2" s="6">
        <v>0</v>
      </c>
      <c r="S2" s="5">
        <f>R2*47</f>
        <v>0</v>
      </c>
      <c r="T2" s="5">
        <f>S2-O12</f>
        <v>0</v>
      </c>
      <c r="U2" s="5"/>
      <c r="V2" s="5" t="s">
        <v>16</v>
      </c>
      <c r="W2" s="6">
        <v>0</v>
      </c>
      <c r="X2" s="5">
        <f>W2*47</f>
        <v>0</v>
      </c>
      <c r="Y2" s="5">
        <f>X2-O12</f>
        <v>0</v>
      </c>
      <c r="Z2" s="5"/>
      <c r="AA2" s="5" t="s">
        <v>17</v>
      </c>
      <c r="AB2" s="6">
        <v>0</v>
      </c>
      <c r="AC2" s="5">
        <f>AB2*47</f>
        <v>0</v>
      </c>
      <c r="AD2" s="5">
        <f>AC2-O12</f>
        <v>0</v>
      </c>
      <c r="AE2" s="5"/>
      <c r="AG2" s="5">
        <f>MAX(E2,E3,E4,E5,J2,J3,J4,J5,O2,O3,O4,O5,T2,T3,T4,T5,Y2,Y3,Y4,Y5,AD2,AD3,AD4,AD5,E7,E8,E9,E10,E11,J7,J8,J9,J10,O7,O8,O9,O10,T7,T8,T9,T10,Y7,Y8,Y9,Y10,AD7,AD8,AD9,AD10)</f>
        <v>0</v>
      </c>
    </row>
    <row r="3" spans="1:34" ht="34.95" customHeight="1">
      <c r="B3" s="5" t="s">
        <v>18</v>
      </c>
      <c r="C3" s="6">
        <v>0</v>
      </c>
      <c r="D3" s="5">
        <f>C3*47</f>
        <v>0</v>
      </c>
      <c r="E3" s="5">
        <f>D3-O12</f>
        <v>0</v>
      </c>
      <c r="F3" s="5"/>
      <c r="G3" s="5" t="s">
        <v>19</v>
      </c>
      <c r="H3" s="6">
        <v>0</v>
      </c>
      <c r="I3" s="5">
        <f>H3*47</f>
        <v>0</v>
      </c>
      <c r="J3" s="5">
        <f>I3-O12</f>
        <v>0</v>
      </c>
      <c r="K3" s="5"/>
      <c r="L3" s="5" t="s">
        <v>20</v>
      </c>
      <c r="M3" s="6">
        <v>0</v>
      </c>
      <c r="N3" s="5">
        <f>M3*47</f>
        <v>0</v>
      </c>
      <c r="O3" s="5">
        <f>N3-O12</f>
        <v>0</v>
      </c>
      <c r="P3" s="5"/>
      <c r="Q3" s="5" t="s">
        <v>21</v>
      </c>
      <c r="R3" s="6">
        <v>0</v>
      </c>
      <c r="S3" s="5">
        <f>R3*47</f>
        <v>0</v>
      </c>
      <c r="T3" s="5">
        <f>S3-O12</f>
        <v>0</v>
      </c>
      <c r="U3" s="5"/>
      <c r="V3" s="5" t="s">
        <v>22</v>
      </c>
      <c r="W3" s="6">
        <v>0</v>
      </c>
      <c r="X3" s="5">
        <f>W3*47</f>
        <v>0</v>
      </c>
      <c r="Y3" s="5">
        <f>X3-O12</f>
        <v>0</v>
      </c>
      <c r="Z3" s="5"/>
      <c r="AA3" s="5" t="s">
        <v>23</v>
      </c>
      <c r="AB3" s="6">
        <v>0</v>
      </c>
      <c r="AC3" s="5">
        <f>AB3*47</f>
        <v>0</v>
      </c>
      <c r="AD3" s="5">
        <f>AC3-O12</f>
        <v>0</v>
      </c>
      <c r="AE3" s="5"/>
      <c r="AG3" s="8" t="s">
        <v>24</v>
      </c>
    </row>
    <row r="4" spans="1:34" ht="34.95" customHeight="1">
      <c r="B4" s="5" t="s">
        <v>25</v>
      </c>
      <c r="C4" s="6">
        <v>0</v>
      </c>
      <c r="D4" s="5">
        <f>C4*47</f>
        <v>0</v>
      </c>
      <c r="E4" s="5">
        <f>D4-O12</f>
        <v>0</v>
      </c>
      <c r="F4" s="5"/>
      <c r="G4" s="5" t="s">
        <v>26</v>
      </c>
      <c r="H4" s="6">
        <v>0</v>
      </c>
      <c r="I4" s="5">
        <f>H4*47</f>
        <v>0</v>
      </c>
      <c r="J4" s="5">
        <f>I4-O12</f>
        <v>0</v>
      </c>
      <c r="K4" s="5"/>
      <c r="L4" s="5" t="s">
        <v>27</v>
      </c>
      <c r="M4" s="6">
        <v>0</v>
      </c>
      <c r="N4" s="5">
        <f>M4*47</f>
        <v>0</v>
      </c>
      <c r="O4" s="5">
        <f>N4-O12</f>
        <v>0</v>
      </c>
      <c r="P4" s="5"/>
      <c r="Q4" s="5" t="s">
        <v>28</v>
      </c>
      <c r="R4" s="6">
        <v>0</v>
      </c>
      <c r="S4" s="5">
        <f>R4*47</f>
        <v>0</v>
      </c>
      <c r="T4" s="5">
        <f>S4-O12</f>
        <v>0</v>
      </c>
      <c r="U4" s="5"/>
      <c r="V4" s="5" t="s">
        <v>29</v>
      </c>
      <c r="W4" s="6">
        <v>0</v>
      </c>
      <c r="X4" s="5">
        <f>W4*47</f>
        <v>0</v>
      </c>
      <c r="Y4" s="5">
        <f>X4-O12</f>
        <v>0</v>
      </c>
      <c r="Z4" s="5"/>
      <c r="AA4" s="5" t="s">
        <v>30</v>
      </c>
      <c r="AB4" s="6">
        <v>0</v>
      </c>
      <c r="AC4" s="5">
        <f>AB4*47</f>
        <v>0</v>
      </c>
      <c r="AD4" s="5">
        <f>AC4-O12</f>
        <v>0</v>
      </c>
      <c r="AE4" s="5"/>
      <c r="AG4" s="5">
        <f>SUM(IF(E2&gt;0,1,0),IF(E3&gt;0,1,0),IF(E4&gt;0,1,0),IF(E5&gt;0,1,0),IF(J2&gt;0,1,0),IF(J3&gt;0,1,0),IF(J4&gt;0,1,0),IF(J5&gt;0,1,0),IF(O2&gt;0,1,0),IF(O3&gt;0,1,0),IF(O4&gt;0,1,0),IF(O5&gt;0,1,0),IF(T2&gt;0,1,0),IF(T3&gt;0,1,0),IF(T4&gt;0,1,0),IF(T5&gt;0,1,0),IF(Y2&gt;0,1,0),IF(Y3&gt;0,1,0),IF(Y4&gt;0,1,0),IF(Y5&gt;0,1,0),IF(AD2&gt;0,1,0),IF(AD3&gt;0,1,0),IF(AD4&gt;0,1,0),IF(AD5&gt;0,1,0),IF(E7&gt;0,1,0),IF(E8&gt;0,1,0),IF(E9&gt;0,1,0),IF(E10&gt;0,1,0),IF(E11&gt;0,1,0),IF(J7&gt;0,1,0),IF(J8&gt;0,1,0),IF(J9&gt;0,1,0),IF(J10&gt;0,1,0),IF(O7&gt;0,1,0),IF(O8&gt;0,1,0),IF(O9&gt;0,1,0),IF(O10&gt;0,1,0),IF(T7&gt;0,1,0),IF(T8&gt;0,1,0),IF(T9&gt;0,1,0),IF(T10&gt;0,1,0),IF(Y7&gt;0,1,0),IF(Y8&gt;0,1,0),IF(Y9&gt;0,1,0),IF(Y10&gt;0,1,0),IF(AD7&gt;0,1,0),IF(AD8&gt;0,1,0),IF(AD9&gt;0,1,0),IF(AD10&gt;0,1,0))</f>
        <v>0</v>
      </c>
    </row>
    <row r="5" spans="1:34" ht="34.95" customHeight="1">
      <c r="B5" s="5" t="s">
        <v>31</v>
      </c>
      <c r="C5" s="6">
        <v>0</v>
      </c>
      <c r="D5" s="5">
        <f>C5*47</f>
        <v>0</v>
      </c>
      <c r="E5" s="5">
        <f>D5-O12</f>
        <v>0</v>
      </c>
      <c r="F5" s="5"/>
      <c r="G5" s="5" t="s">
        <v>32</v>
      </c>
      <c r="H5" s="6">
        <v>0</v>
      </c>
      <c r="I5" s="5">
        <f>H5*47</f>
        <v>0</v>
      </c>
      <c r="J5" s="5">
        <f>I5-O12</f>
        <v>0</v>
      </c>
      <c r="K5" s="5"/>
      <c r="L5" s="5" t="s">
        <v>33</v>
      </c>
      <c r="M5" s="6">
        <v>0</v>
      </c>
      <c r="N5" s="5">
        <f>M5*47</f>
        <v>0</v>
      </c>
      <c r="O5" s="5">
        <f>N5-O12</f>
        <v>0</v>
      </c>
      <c r="P5" s="5"/>
      <c r="Q5" s="5" t="s">
        <v>34</v>
      </c>
      <c r="R5" s="6">
        <v>0</v>
      </c>
      <c r="S5" s="5">
        <f>R5*47</f>
        <v>0</v>
      </c>
      <c r="T5" s="5">
        <f>S5-O12</f>
        <v>0</v>
      </c>
      <c r="U5" s="5"/>
      <c r="V5" s="5" t="s">
        <v>35</v>
      </c>
      <c r="W5" s="6">
        <v>0</v>
      </c>
      <c r="X5" s="5">
        <f>W5*47</f>
        <v>0</v>
      </c>
      <c r="Y5" s="5">
        <f>X5-O12</f>
        <v>0</v>
      </c>
      <c r="Z5" s="5"/>
      <c r="AA5" s="5" t="s">
        <v>36</v>
      </c>
      <c r="AB5" s="6">
        <v>0</v>
      </c>
      <c r="AC5" s="5">
        <f>AB5*47</f>
        <v>0</v>
      </c>
      <c r="AD5" s="5">
        <f>AC5-O12</f>
        <v>0</v>
      </c>
      <c r="AE5" s="5"/>
      <c r="AG5" s="8" t="s">
        <v>37</v>
      </c>
    </row>
    <row r="6" spans="1:34" ht="37.05" customHeight="1">
      <c r="A6" s="1" t="s">
        <v>38</v>
      </c>
      <c r="B6" s="2" t="s">
        <v>39</v>
      </c>
      <c r="C6" s="3" t="s">
        <v>2</v>
      </c>
      <c r="D6" s="3" t="s">
        <v>3</v>
      </c>
      <c r="E6" s="3" t="s">
        <v>4</v>
      </c>
      <c r="F6" s="4" t="s">
        <v>5</v>
      </c>
      <c r="G6" s="2" t="s">
        <v>40</v>
      </c>
      <c r="H6" s="3" t="s">
        <v>2</v>
      </c>
      <c r="I6" s="3" t="s">
        <v>3</v>
      </c>
      <c r="J6" s="3" t="s">
        <v>4</v>
      </c>
      <c r="K6" s="4" t="s">
        <v>5</v>
      </c>
      <c r="L6" s="2" t="s">
        <v>41</v>
      </c>
      <c r="M6" s="3" t="s">
        <v>2</v>
      </c>
      <c r="N6" s="3" t="s">
        <v>3</v>
      </c>
      <c r="O6" s="3" t="s">
        <v>4</v>
      </c>
      <c r="P6" s="4" t="s">
        <v>5</v>
      </c>
      <c r="Q6" s="2" t="s">
        <v>42</v>
      </c>
      <c r="R6" s="3" t="s">
        <v>2</v>
      </c>
      <c r="S6" s="3" t="s">
        <v>3</v>
      </c>
      <c r="T6" s="3" t="s">
        <v>4</v>
      </c>
      <c r="U6" s="4" t="s">
        <v>5</v>
      </c>
      <c r="V6" s="2" t="s">
        <v>43</v>
      </c>
      <c r="W6" s="3" t="s">
        <v>2</v>
      </c>
      <c r="X6" s="3" t="s">
        <v>3</v>
      </c>
      <c r="Y6" s="3" t="s">
        <v>4</v>
      </c>
      <c r="Z6" s="4" t="s">
        <v>5</v>
      </c>
      <c r="AA6" s="2" t="s">
        <v>44</v>
      </c>
      <c r="AB6" s="3" t="s">
        <v>2</v>
      </c>
      <c r="AC6" s="3" t="s">
        <v>3</v>
      </c>
      <c r="AD6" s="3" t="s">
        <v>4</v>
      </c>
      <c r="AE6" s="4" t="s">
        <v>5</v>
      </c>
      <c r="AG6" s="5">
        <f>O12</f>
        <v>0</v>
      </c>
    </row>
    <row r="7" spans="1:34" ht="34.95" customHeight="1">
      <c r="B7" s="5" t="s">
        <v>45</v>
      </c>
      <c r="C7" s="6">
        <v>0</v>
      </c>
      <c r="D7" s="5">
        <f>C7*47</f>
        <v>0</v>
      </c>
      <c r="E7" s="5">
        <f>D7-O12</f>
        <v>0</v>
      </c>
      <c r="F7" s="5"/>
      <c r="G7" s="5" t="s">
        <v>46</v>
      </c>
      <c r="H7" s="6">
        <v>0</v>
      </c>
      <c r="I7" s="5">
        <f>H7*47</f>
        <v>0</v>
      </c>
      <c r="J7" s="5">
        <f>I7-O12</f>
        <v>0</v>
      </c>
      <c r="K7" s="5"/>
      <c r="L7" s="5" t="s">
        <v>47</v>
      </c>
      <c r="M7" s="6">
        <v>0</v>
      </c>
      <c r="N7" s="5">
        <f>M7*47</f>
        <v>0</v>
      </c>
      <c r="O7" s="5">
        <f>N7-O12</f>
        <v>0</v>
      </c>
      <c r="P7" s="5"/>
      <c r="Q7" s="5" t="s">
        <v>48</v>
      </c>
      <c r="R7" s="6">
        <v>0</v>
      </c>
      <c r="S7" s="5">
        <f>R7*47</f>
        <v>0</v>
      </c>
      <c r="T7" s="5">
        <f>S7-O12</f>
        <v>0</v>
      </c>
      <c r="U7" s="5"/>
      <c r="V7" s="5" t="s">
        <v>49</v>
      </c>
      <c r="W7" s="6">
        <v>0</v>
      </c>
      <c r="X7" s="5">
        <f>W7*47</f>
        <v>0</v>
      </c>
      <c r="Y7" s="5">
        <f>X7-O12</f>
        <v>0</v>
      </c>
      <c r="Z7" s="5"/>
      <c r="AA7" s="5" t="s">
        <v>50</v>
      </c>
      <c r="AB7" s="6">
        <v>0</v>
      </c>
      <c r="AC7" s="5">
        <f>AB7*47</f>
        <v>0</v>
      </c>
      <c r="AD7" s="5">
        <f>AC7-O12</f>
        <v>0</v>
      </c>
      <c r="AE7" s="5"/>
      <c r="AG7" s="10" t="s">
        <v>51</v>
      </c>
    </row>
    <row r="8" spans="1:34" ht="34.95" customHeight="1">
      <c r="B8" s="5" t="s">
        <v>52</v>
      </c>
      <c r="C8" s="6">
        <v>0</v>
      </c>
      <c r="D8" s="5">
        <f>C8*47</f>
        <v>0</v>
      </c>
      <c r="E8" s="5">
        <f>D8-O12</f>
        <v>0</v>
      </c>
      <c r="F8" s="5"/>
      <c r="G8" s="5" t="s">
        <v>53</v>
      </c>
      <c r="H8" s="6">
        <v>0</v>
      </c>
      <c r="I8" s="5">
        <f>H8*47</f>
        <v>0</v>
      </c>
      <c r="J8" s="5">
        <f>I8-O12</f>
        <v>0</v>
      </c>
      <c r="K8" s="5"/>
      <c r="L8" s="5" t="s">
        <v>54</v>
      </c>
      <c r="M8" s="6">
        <v>0</v>
      </c>
      <c r="N8" s="5">
        <f>M8*47</f>
        <v>0</v>
      </c>
      <c r="O8" s="5">
        <f>N8-O12</f>
        <v>0</v>
      </c>
      <c r="P8" s="5"/>
      <c r="Q8" s="5" t="s">
        <v>55</v>
      </c>
      <c r="R8" s="6">
        <v>0</v>
      </c>
      <c r="S8" s="5">
        <f>R8*47</f>
        <v>0</v>
      </c>
      <c r="T8" s="5">
        <f>S8-O12</f>
        <v>0</v>
      </c>
      <c r="U8" s="5"/>
      <c r="V8" s="5" t="s">
        <v>56</v>
      </c>
      <c r="W8" s="6">
        <v>0</v>
      </c>
      <c r="X8" s="5">
        <f>W8*47</f>
        <v>0</v>
      </c>
      <c r="Y8" s="5">
        <f>X8-O12</f>
        <v>0</v>
      </c>
      <c r="Z8" s="5"/>
      <c r="AA8" s="5" t="s">
        <v>57</v>
      </c>
      <c r="AB8" s="6">
        <v>0</v>
      </c>
      <c r="AC8" s="5">
        <f>AB8*47</f>
        <v>0</v>
      </c>
      <c r="AD8" s="5">
        <f>AC8-O12</f>
        <v>0</v>
      </c>
      <c r="AE8" s="5"/>
      <c r="AG8" s="5">
        <f>MIN(E2,E3,E4,E5,J2,J3,J4,J5,O2,O3,O4,O5,T2,T3,T4,T5,Y2,Y3,Y4,Y5,AD2,AD3,AD4,AD5,E7,E8,E9,E10,E11,J7,J8,J9,J10,O7,O8,O9,O10,T7,T8,T9,T10,Y7,Y8,Y9,Y10,AD7,AD8,AD9,AD10)</f>
        <v>0</v>
      </c>
    </row>
    <row r="9" spans="1:34" ht="34.95" customHeight="1">
      <c r="B9" s="5" t="s">
        <v>58</v>
      </c>
      <c r="C9" s="6">
        <v>0</v>
      </c>
      <c r="D9" s="5">
        <f>C9*47</f>
        <v>0</v>
      </c>
      <c r="E9" s="5">
        <f>D9-O12</f>
        <v>0</v>
      </c>
      <c r="F9" s="5"/>
      <c r="G9" s="5" t="s">
        <v>59</v>
      </c>
      <c r="H9" s="6">
        <v>0</v>
      </c>
      <c r="I9" s="5">
        <f>H9*47</f>
        <v>0</v>
      </c>
      <c r="J9" s="5">
        <f>I9-O12</f>
        <v>0</v>
      </c>
      <c r="K9" s="5"/>
      <c r="L9" s="5" t="s">
        <v>60</v>
      </c>
      <c r="M9" s="6">
        <v>0</v>
      </c>
      <c r="N9" s="5">
        <f>M9*47</f>
        <v>0</v>
      </c>
      <c r="O9" s="5">
        <f>N9-O12</f>
        <v>0</v>
      </c>
      <c r="P9" s="5"/>
      <c r="Q9" s="5" t="s">
        <v>61</v>
      </c>
      <c r="R9" s="6">
        <v>0</v>
      </c>
      <c r="S9" s="5">
        <f>R9*47</f>
        <v>0</v>
      </c>
      <c r="T9" s="5">
        <f>S9-O12</f>
        <v>0</v>
      </c>
      <c r="U9" s="5"/>
      <c r="V9" s="5" t="s">
        <v>62</v>
      </c>
      <c r="W9" s="6">
        <v>0</v>
      </c>
      <c r="X9" s="5">
        <f>W9*47</f>
        <v>0</v>
      </c>
      <c r="Y9" s="5">
        <f>X9-O12</f>
        <v>0</v>
      </c>
      <c r="Z9" s="5"/>
      <c r="AA9" s="5" t="s">
        <v>63</v>
      </c>
      <c r="AB9" s="6">
        <v>0</v>
      </c>
      <c r="AC9" s="5">
        <f>AB9*47</f>
        <v>0</v>
      </c>
      <c r="AD9" s="5">
        <f>AC9-O12</f>
        <v>0</v>
      </c>
      <c r="AE9" s="5"/>
    </row>
    <row r="10" spans="1:34" ht="34.95" customHeight="1">
      <c r="B10" s="5" t="s">
        <v>64</v>
      </c>
      <c r="C10" s="6">
        <v>0</v>
      </c>
      <c r="D10" s="5">
        <f>C10*47</f>
        <v>0</v>
      </c>
      <c r="E10" s="5">
        <f>D10-O12</f>
        <v>0</v>
      </c>
      <c r="F10" s="5"/>
      <c r="G10" s="5" t="s">
        <v>65</v>
      </c>
      <c r="H10" s="6">
        <v>0</v>
      </c>
      <c r="I10" s="5">
        <f>H10*47</f>
        <v>0</v>
      </c>
      <c r="J10" s="5">
        <f>I10-O12</f>
        <v>0</v>
      </c>
      <c r="K10" s="5"/>
      <c r="L10" s="5" t="s">
        <v>66</v>
      </c>
      <c r="M10" s="6">
        <v>0</v>
      </c>
      <c r="N10" s="5">
        <f>M10*47</f>
        <v>0</v>
      </c>
      <c r="O10" s="5">
        <f>N10-O12</f>
        <v>0</v>
      </c>
      <c r="P10" s="5"/>
      <c r="Q10" s="5" t="s">
        <v>67</v>
      </c>
      <c r="R10" s="6">
        <v>0</v>
      </c>
      <c r="S10" s="5">
        <f>R10*47</f>
        <v>0</v>
      </c>
      <c r="T10" s="5">
        <f>S10-O12</f>
        <v>0</v>
      </c>
      <c r="U10" s="5"/>
      <c r="V10" s="5" t="s">
        <v>68</v>
      </c>
      <c r="W10" s="6">
        <v>0</v>
      </c>
      <c r="X10" s="5">
        <f>W10*47</f>
        <v>0</v>
      </c>
      <c r="Y10" s="5">
        <f>X10-O12</f>
        <v>0</v>
      </c>
      <c r="Z10" s="5"/>
      <c r="AA10" s="5" t="s">
        <v>69</v>
      </c>
      <c r="AB10" s="6">
        <v>0</v>
      </c>
      <c r="AC10" s="5">
        <f>AB10*47</f>
        <v>0</v>
      </c>
      <c r="AD10" s="5">
        <f>AC10-O12</f>
        <v>0</v>
      </c>
      <c r="AE10" s="5"/>
    </row>
    <row r="11" spans="1:34" ht="30" customHeight="1">
      <c r="B11" s="5" t="s">
        <v>70</v>
      </c>
      <c r="C11" s="6">
        <v>0</v>
      </c>
      <c r="D11" s="5">
        <f>C11*47</f>
        <v>0</v>
      </c>
      <c r="E11" s="5">
        <f>D11-O12</f>
        <v>0</v>
      </c>
      <c r="F11" s="5"/>
      <c r="G11" s="7" t="s">
        <v>71</v>
      </c>
      <c r="H11" s="7" t="s">
        <v>71</v>
      </c>
      <c r="I11" s="7" t="s">
        <v>71</v>
      </c>
      <c r="J11" s="7" t="s">
        <v>71</v>
      </c>
      <c r="K11" s="7" t="s">
        <v>71</v>
      </c>
      <c r="L11" s="7" t="s">
        <v>71</v>
      </c>
      <c r="M11" s="7" t="s">
        <v>71</v>
      </c>
      <c r="N11" s="7" t="s">
        <v>71</v>
      </c>
      <c r="O11" s="7" t="s">
        <v>71</v>
      </c>
      <c r="P11" s="7" t="s">
        <v>71</v>
      </c>
      <c r="Q11" s="7" t="s">
        <v>71</v>
      </c>
      <c r="R11" s="7" t="s">
        <v>71</v>
      </c>
      <c r="S11" s="7" t="s">
        <v>71</v>
      </c>
      <c r="T11" s="7" t="s">
        <v>71</v>
      </c>
      <c r="U11" s="7" t="s">
        <v>71</v>
      </c>
      <c r="V11" s="7" t="s">
        <v>71</v>
      </c>
      <c r="W11" s="7" t="s">
        <v>71</v>
      </c>
      <c r="X11" s="7" t="s">
        <v>71</v>
      </c>
      <c r="Y11" s="7" t="s">
        <v>71</v>
      </c>
      <c r="Z11" s="7" t="s">
        <v>71</v>
      </c>
      <c r="AA11" s="7" t="s">
        <v>71</v>
      </c>
      <c r="AB11" s="7" t="s">
        <v>71</v>
      </c>
      <c r="AC11" s="7" t="s">
        <v>71</v>
      </c>
      <c r="AD11" s="7" t="s">
        <v>71</v>
      </c>
      <c r="AE11" s="7" t="s">
        <v>71</v>
      </c>
      <c r="AG11" s="11" t="s">
        <v>72</v>
      </c>
      <c r="AH11" s="12">
        <v>1500</v>
      </c>
    </row>
    <row r="12" spans="1:34">
      <c r="B12" s="8" t="s">
        <v>73</v>
      </c>
      <c r="D12" s="5">
        <f>SUM(C2,C3,C4,C5,H2,H3,H4,H5,M2,M3,M4,M5,R2,R3,R4,R5,W2,W3,W4,W5,AB2,AB3,AB4,AB5,C7,C8,C9,C10,C11,H7,H8,H9,H10,M7,M8,M9,M10,R7,R8,R9,R10,W7,W8,W9,W10,AB7,AB8,AB9,AB10)</f>
        <v>0</v>
      </c>
      <c r="I12" s="8" t="s">
        <v>74</v>
      </c>
      <c r="J12" s="5">
        <f>D12*0.02</f>
        <v>0</v>
      </c>
      <c r="N12" s="8" t="s">
        <v>75</v>
      </c>
      <c r="O12" s="5">
        <f>D12-J12</f>
        <v>0</v>
      </c>
      <c r="AG12" s="11" t="s">
        <v>76</v>
      </c>
      <c r="AH12" s="12">
        <v>19</v>
      </c>
    </row>
    <row r="13" spans="1:34">
      <c r="AG13" s="10" t="s">
        <v>77</v>
      </c>
    </row>
    <row r="14" spans="1:34" ht="28.05" customHeight="1">
      <c r="AG14" s="10" t="s">
        <v>78</v>
      </c>
      <c r="AH14" s="13" t="s">
        <v>79</v>
      </c>
    </row>
  </sheetData>
  <conditionalFormatting sqref="E2:E5">
    <cfRule type="cellIs" dxfId="0" priority="1" operator="greaterThan">
      <formula>0</formula>
    </cfRule>
  </conditionalFormatting>
  <conditionalFormatting sqref="J2:J5">
    <cfRule type="cellIs" dxfId="0" priority="2" operator="greaterThan">
      <formula>0</formula>
    </cfRule>
  </conditionalFormatting>
  <conditionalFormatting sqref="O2:O5">
    <cfRule type="cellIs" dxfId="0" priority="3" operator="greaterThan">
      <formula>0</formula>
    </cfRule>
  </conditionalFormatting>
  <conditionalFormatting sqref="T2:T5">
    <cfRule type="cellIs" dxfId="0" priority="4" operator="greaterThan">
      <formula>0</formula>
    </cfRule>
  </conditionalFormatting>
  <conditionalFormatting sqref="Y2:Y5">
    <cfRule type="cellIs" dxfId="0" priority="5" operator="greaterThan">
      <formula>0</formula>
    </cfRule>
  </conditionalFormatting>
  <conditionalFormatting sqref="AD2:AD5">
    <cfRule type="cellIs" dxfId="0" priority="6" operator="greaterThan">
      <formula>0</formula>
    </cfRule>
  </conditionalFormatting>
  <conditionalFormatting sqref="E7:E11">
    <cfRule type="cellIs" dxfId="0" priority="7" operator="greaterThan">
      <formula>0</formula>
    </cfRule>
  </conditionalFormatting>
  <conditionalFormatting sqref="J7:J10">
    <cfRule type="cellIs" dxfId="0" priority="8" operator="greaterThan">
      <formula>0</formula>
    </cfRule>
  </conditionalFormatting>
  <conditionalFormatting sqref="O7:O10">
    <cfRule type="cellIs" dxfId="0" priority="9" operator="greaterThan">
      <formula>0</formula>
    </cfRule>
  </conditionalFormatting>
  <conditionalFormatting sqref="T7:T10">
    <cfRule type="cellIs" dxfId="0" priority="10" operator="greaterThan">
      <formula>0</formula>
    </cfRule>
  </conditionalFormatting>
  <conditionalFormatting sqref="Y7:Y10">
    <cfRule type="cellIs" dxfId="0" priority="11" operator="greaterThan">
      <formula>0</formula>
    </cfRule>
  </conditionalFormatting>
  <conditionalFormatting sqref="AD7:AD10">
    <cfRule type="cellIs" dxfId="0" priority="12" operator="greater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57"/>
  <sheetViews>
    <sheetView workbookViewId="0"/>
  </sheetViews>
  <sheetFormatPr defaultRowHeight="15"/>
  <cols>
    <col min="1" max="1" width="18.7109375" customWidth="1"/>
    <col min="2" max="3" width="14.7109375" customWidth="1"/>
    <col min="4" max="4" width="12.7109375" customWidth="1"/>
    <col min="5" max="6" width="14.7109375" customWidth="1"/>
    <col min="7" max="7" width="12.7109375" customWidth="1"/>
    <col min="8" max="8" width="14.7109375" customWidth="1"/>
    <col min="9" max="9" width="18.7109375" customWidth="1"/>
    <col min="10" max="10" width="14.7109375" customWidth="1"/>
    <col min="11" max="13" width="18.7109375" customWidth="1"/>
  </cols>
  <sheetData>
    <row r="1" spans="1:13">
      <c r="A1" s="14" t="s">
        <v>80</v>
      </c>
    </row>
    <row r="2" spans="1:13">
      <c r="A2" s="15" t="s">
        <v>81</v>
      </c>
      <c r="B2" s="15"/>
      <c r="C2" s="15"/>
      <c r="D2" s="15"/>
      <c r="E2" s="15"/>
      <c r="F2" s="15"/>
      <c r="G2" s="15"/>
      <c r="H2" s="15"/>
      <c r="J2" s="16" t="s">
        <v>82</v>
      </c>
      <c r="K2" s="17" t="s">
        <v>83</v>
      </c>
    </row>
    <row r="3" spans="1:13">
      <c r="A3" s="15"/>
      <c r="B3" s="15"/>
      <c r="C3" s="15"/>
      <c r="D3" s="15"/>
      <c r="E3" s="15"/>
      <c r="F3" s="15"/>
      <c r="G3" s="15"/>
      <c r="H3" s="15"/>
      <c r="J3" s="16" t="s">
        <v>84</v>
      </c>
      <c r="K3" s="17" t="s">
        <v>85</v>
      </c>
    </row>
    <row r="4" spans="1:13">
      <c r="A4" s="15" t="s">
        <v>86</v>
      </c>
      <c r="B4" s="15" t="s">
        <v>87</v>
      </c>
      <c r="C4" s="15" t="s">
        <v>88</v>
      </c>
      <c r="J4" s="16" t="s">
        <v>89</v>
      </c>
      <c r="K4" s="12">
        <v>1500</v>
      </c>
    </row>
    <row r="5" spans="1:13">
      <c r="A5" s="16" t="s">
        <v>90</v>
      </c>
      <c r="B5" s="5">
        <v>0</v>
      </c>
      <c r="C5" s="5">
        <v>0</v>
      </c>
      <c r="J5" s="16" t="s">
        <v>91</v>
      </c>
      <c r="K5" s="12">
        <v>19</v>
      </c>
    </row>
    <row r="6" spans="1:13">
      <c r="A6" s="16" t="s">
        <v>92</v>
      </c>
      <c r="B6" s="5">
        <v>0</v>
      </c>
      <c r="C6" s="5">
        <v>0</v>
      </c>
      <c r="J6" s="16" t="s">
        <v>77</v>
      </c>
    </row>
    <row r="7" spans="1:13">
      <c r="A7" s="16" t="s">
        <v>93</v>
      </c>
      <c r="B7" s="5">
        <v>0</v>
      </c>
      <c r="C7" s="5">
        <v>0</v>
      </c>
      <c r="J7" s="16" t="s">
        <v>78</v>
      </c>
      <c r="K7" s="17" t="s">
        <v>94</v>
      </c>
    </row>
    <row r="8" spans="1:13">
      <c r="A8" s="4" t="s">
        <v>95</v>
      </c>
      <c r="B8" s="4" t="s">
        <v>96</v>
      </c>
      <c r="C8" s="4" t="s">
        <v>97</v>
      </c>
      <c r="D8" s="4" t="s">
        <v>98</v>
      </c>
      <c r="E8" s="4" t="s">
        <v>99</v>
      </c>
      <c r="F8" s="4" t="s">
        <v>100</v>
      </c>
      <c r="G8" s="4" t="s">
        <v>101</v>
      </c>
      <c r="H8" s="4" t="s">
        <v>102</v>
      </c>
      <c r="I8" s="4" t="s">
        <v>103</v>
      </c>
      <c r="J8" s="4" t="s">
        <v>104</v>
      </c>
      <c r="K8" s="4" t="s">
        <v>105</v>
      </c>
      <c r="L8" s="4" t="s">
        <v>106</v>
      </c>
      <c r="M8" s="4" t="s">
        <v>107</v>
      </c>
    </row>
    <row r="9" spans="1:13">
      <c r="A9" s="17" t="s">
        <v>45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17" t="s">
        <v>108</v>
      </c>
      <c r="H9" s="17" t="s">
        <v>108</v>
      </c>
      <c r="I9" s="12">
        <v>0</v>
      </c>
      <c r="J9" s="12"/>
      <c r="K9" s="12"/>
      <c r="L9" s="5"/>
      <c r="M9" s="17" t="s">
        <v>109</v>
      </c>
    </row>
    <row r="10" spans="1:13">
      <c r="A10" s="17" t="s">
        <v>12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17" t="s">
        <v>108</v>
      </c>
      <c r="H10" s="17" t="s">
        <v>108</v>
      </c>
      <c r="I10" s="12">
        <v>0</v>
      </c>
      <c r="J10" s="12"/>
      <c r="K10" s="12"/>
      <c r="L10" s="5"/>
      <c r="M10" s="17" t="s">
        <v>109</v>
      </c>
    </row>
    <row r="11" spans="1:13">
      <c r="A11" s="17" t="s">
        <v>46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17" t="s">
        <v>108</v>
      </c>
      <c r="H11" s="17" t="s">
        <v>108</v>
      </c>
      <c r="I11" s="12">
        <v>0</v>
      </c>
      <c r="J11" s="12"/>
      <c r="K11" s="12"/>
      <c r="L11" s="5"/>
      <c r="M11" s="17" t="s">
        <v>109</v>
      </c>
    </row>
    <row r="12" spans="1:13">
      <c r="A12" s="17" t="s">
        <v>13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17" t="s">
        <v>108</v>
      </c>
      <c r="H12" s="17" t="s">
        <v>108</v>
      </c>
      <c r="I12" s="12">
        <v>0</v>
      </c>
      <c r="J12" s="12"/>
      <c r="K12" s="12"/>
      <c r="L12" s="5"/>
      <c r="M12" s="17" t="s">
        <v>109</v>
      </c>
    </row>
    <row r="13" spans="1:13">
      <c r="A13" s="17" t="s">
        <v>47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17" t="s">
        <v>108</v>
      </c>
      <c r="H13" s="17" t="s">
        <v>108</v>
      </c>
      <c r="I13" s="12">
        <v>0</v>
      </c>
      <c r="J13" s="12"/>
      <c r="K13" s="12"/>
      <c r="L13" s="5"/>
      <c r="M13" s="17" t="s">
        <v>109</v>
      </c>
    </row>
    <row r="14" spans="1:13">
      <c r="A14" s="17" t="s">
        <v>14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17" t="s">
        <v>108</v>
      </c>
      <c r="H14" s="17" t="s">
        <v>108</v>
      </c>
      <c r="I14" s="12">
        <v>0</v>
      </c>
      <c r="J14" s="12"/>
      <c r="K14" s="12"/>
      <c r="L14" s="5"/>
      <c r="M14" s="17" t="s">
        <v>109</v>
      </c>
    </row>
    <row r="15" spans="1:13">
      <c r="A15" s="17" t="s">
        <v>48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17" t="s">
        <v>108</v>
      </c>
      <c r="H15" s="17" t="s">
        <v>108</v>
      </c>
      <c r="I15" s="12">
        <v>0</v>
      </c>
      <c r="J15" s="12"/>
      <c r="K15" s="12"/>
      <c r="L15" s="5"/>
      <c r="M15" s="17" t="s">
        <v>109</v>
      </c>
    </row>
    <row r="16" spans="1:13">
      <c r="A16" s="17" t="s">
        <v>15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17" t="s">
        <v>108</v>
      </c>
      <c r="H16" s="17" t="s">
        <v>108</v>
      </c>
      <c r="I16" s="12">
        <v>0</v>
      </c>
      <c r="J16" s="12"/>
      <c r="K16" s="12"/>
      <c r="L16" s="5"/>
      <c r="M16" s="17" t="s">
        <v>109</v>
      </c>
    </row>
    <row r="17" spans="1:13">
      <c r="A17" s="17" t="s">
        <v>49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17" t="s">
        <v>108</v>
      </c>
      <c r="H17" s="17" t="s">
        <v>108</v>
      </c>
      <c r="I17" s="12">
        <v>0</v>
      </c>
      <c r="J17" s="12"/>
      <c r="K17" s="12"/>
      <c r="L17" s="5"/>
      <c r="M17" s="17" t="s">
        <v>109</v>
      </c>
    </row>
    <row r="18" spans="1:13">
      <c r="A18" s="17" t="s">
        <v>16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17" t="s">
        <v>108</v>
      </c>
      <c r="H18" s="17" t="s">
        <v>108</v>
      </c>
      <c r="I18" s="12">
        <v>0</v>
      </c>
      <c r="J18" s="12"/>
      <c r="K18" s="12"/>
      <c r="L18" s="5"/>
      <c r="M18" s="17" t="s">
        <v>109</v>
      </c>
    </row>
    <row r="19" spans="1:13">
      <c r="A19" s="17" t="s">
        <v>50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17" t="s">
        <v>108</v>
      </c>
      <c r="H19" s="17" t="s">
        <v>108</v>
      </c>
      <c r="I19" s="12">
        <v>0</v>
      </c>
      <c r="J19" s="12"/>
      <c r="K19" s="12"/>
      <c r="L19" s="5"/>
      <c r="M19" s="17" t="s">
        <v>109</v>
      </c>
    </row>
    <row r="20" spans="1:13">
      <c r="A20" s="17" t="s">
        <v>17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17" t="s">
        <v>108</v>
      </c>
      <c r="H20" s="17" t="s">
        <v>108</v>
      </c>
      <c r="I20" s="12">
        <v>0</v>
      </c>
      <c r="J20" s="12"/>
      <c r="K20" s="12"/>
      <c r="L20" s="5"/>
      <c r="M20" s="17" t="s">
        <v>109</v>
      </c>
    </row>
    <row r="21" spans="1:13">
      <c r="A21" s="17" t="s">
        <v>52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17" t="s">
        <v>108</v>
      </c>
      <c r="H21" s="17" t="s">
        <v>108</v>
      </c>
      <c r="I21" s="12">
        <v>0</v>
      </c>
      <c r="J21" s="12"/>
      <c r="K21" s="12"/>
      <c r="L21" s="5"/>
      <c r="M21" s="17" t="s">
        <v>109</v>
      </c>
    </row>
    <row r="22" spans="1:13">
      <c r="A22" s="17" t="s">
        <v>18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17" t="s">
        <v>108</v>
      </c>
      <c r="H22" s="17" t="s">
        <v>108</v>
      </c>
      <c r="I22" s="12">
        <v>0</v>
      </c>
      <c r="J22" s="12"/>
      <c r="K22" s="12"/>
      <c r="L22" s="5"/>
      <c r="M22" s="17" t="s">
        <v>109</v>
      </c>
    </row>
    <row r="23" spans="1:13">
      <c r="A23" s="17" t="s">
        <v>53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  <c r="G23" s="17" t="s">
        <v>108</v>
      </c>
      <c r="H23" s="17" t="s">
        <v>108</v>
      </c>
      <c r="I23" s="12">
        <v>0</v>
      </c>
      <c r="J23" s="12"/>
      <c r="K23" s="12"/>
      <c r="L23" s="5"/>
      <c r="M23" s="17" t="s">
        <v>109</v>
      </c>
    </row>
    <row r="24" spans="1:13">
      <c r="A24" s="17" t="s">
        <v>19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17" t="s">
        <v>108</v>
      </c>
      <c r="H24" s="17" t="s">
        <v>108</v>
      </c>
      <c r="I24" s="12">
        <v>0</v>
      </c>
      <c r="J24" s="12"/>
      <c r="K24" s="12"/>
      <c r="L24" s="5"/>
      <c r="M24" s="17" t="s">
        <v>109</v>
      </c>
    </row>
    <row r="25" spans="1:13">
      <c r="A25" s="17" t="s">
        <v>54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17" t="s">
        <v>108</v>
      </c>
      <c r="H25" s="17" t="s">
        <v>108</v>
      </c>
      <c r="I25" s="12">
        <v>0</v>
      </c>
      <c r="J25" s="12"/>
      <c r="K25" s="12"/>
      <c r="L25" s="5"/>
      <c r="M25" s="17" t="s">
        <v>109</v>
      </c>
    </row>
    <row r="26" spans="1:13">
      <c r="A26" s="17" t="s">
        <v>20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17" t="s">
        <v>108</v>
      </c>
      <c r="H26" s="17" t="s">
        <v>108</v>
      </c>
      <c r="I26" s="12">
        <v>0</v>
      </c>
      <c r="J26" s="12"/>
      <c r="K26" s="12"/>
      <c r="L26" s="5"/>
      <c r="M26" s="17" t="s">
        <v>109</v>
      </c>
    </row>
    <row r="27" spans="1:13">
      <c r="A27" s="17" t="s">
        <v>55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17" t="s">
        <v>108</v>
      </c>
      <c r="H27" s="17" t="s">
        <v>108</v>
      </c>
      <c r="I27" s="12">
        <v>0</v>
      </c>
      <c r="J27" s="12"/>
      <c r="K27" s="12"/>
      <c r="L27" s="5"/>
      <c r="M27" s="17" t="s">
        <v>109</v>
      </c>
    </row>
    <row r="28" spans="1:13">
      <c r="A28" s="17" t="s">
        <v>21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17" t="s">
        <v>108</v>
      </c>
      <c r="H28" s="17" t="s">
        <v>108</v>
      </c>
      <c r="I28" s="12">
        <v>0</v>
      </c>
      <c r="J28" s="12"/>
      <c r="K28" s="12"/>
      <c r="L28" s="5"/>
      <c r="M28" s="17" t="s">
        <v>109</v>
      </c>
    </row>
    <row r="29" spans="1:13">
      <c r="A29" s="17" t="s">
        <v>56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17" t="s">
        <v>108</v>
      </c>
      <c r="H29" s="17" t="s">
        <v>108</v>
      </c>
      <c r="I29" s="12">
        <v>0</v>
      </c>
      <c r="J29" s="12"/>
      <c r="K29" s="12"/>
      <c r="L29" s="5"/>
      <c r="M29" s="17" t="s">
        <v>109</v>
      </c>
    </row>
    <row r="30" spans="1:13">
      <c r="A30" s="17" t="s">
        <v>22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17" t="s">
        <v>108</v>
      </c>
      <c r="H30" s="17" t="s">
        <v>108</v>
      </c>
      <c r="I30" s="12">
        <v>0</v>
      </c>
      <c r="J30" s="12"/>
      <c r="K30" s="12"/>
      <c r="L30" s="5"/>
      <c r="M30" s="17" t="s">
        <v>109</v>
      </c>
    </row>
    <row r="31" spans="1:13">
      <c r="A31" s="17" t="s">
        <v>57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17" t="s">
        <v>108</v>
      </c>
      <c r="H31" s="17" t="s">
        <v>108</v>
      </c>
      <c r="I31" s="12">
        <v>0</v>
      </c>
      <c r="J31" s="12"/>
      <c r="K31" s="12"/>
      <c r="L31" s="5"/>
      <c r="M31" s="17" t="s">
        <v>109</v>
      </c>
    </row>
    <row r="32" spans="1:13">
      <c r="A32" s="17" t="s">
        <v>23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17" t="s">
        <v>108</v>
      </c>
      <c r="H32" s="17" t="s">
        <v>108</v>
      </c>
      <c r="I32" s="12">
        <v>0</v>
      </c>
      <c r="J32" s="12"/>
      <c r="K32" s="12"/>
      <c r="L32" s="5"/>
      <c r="M32" s="17" t="s">
        <v>109</v>
      </c>
    </row>
    <row r="33" spans="1:13">
      <c r="A33" s="17" t="s">
        <v>58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17" t="s">
        <v>108</v>
      </c>
      <c r="H33" s="17" t="s">
        <v>108</v>
      </c>
      <c r="I33" s="12">
        <v>0</v>
      </c>
      <c r="J33" s="12"/>
      <c r="K33" s="12"/>
      <c r="L33" s="5"/>
      <c r="M33" s="17" t="s">
        <v>109</v>
      </c>
    </row>
    <row r="34" spans="1:13">
      <c r="A34" s="17" t="s">
        <v>25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17" t="s">
        <v>108</v>
      </c>
      <c r="H34" s="17" t="s">
        <v>108</v>
      </c>
      <c r="I34" s="12">
        <v>0</v>
      </c>
      <c r="J34" s="12"/>
      <c r="K34" s="12"/>
      <c r="L34" s="5"/>
      <c r="M34" s="17" t="s">
        <v>109</v>
      </c>
    </row>
    <row r="35" spans="1:13">
      <c r="A35" s="17" t="s">
        <v>59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17" t="s">
        <v>108</v>
      </c>
      <c r="H35" s="17" t="s">
        <v>108</v>
      </c>
      <c r="I35" s="12">
        <v>0</v>
      </c>
      <c r="J35" s="12"/>
      <c r="K35" s="12"/>
      <c r="L35" s="5"/>
      <c r="M35" s="17" t="s">
        <v>109</v>
      </c>
    </row>
    <row r="36" spans="1:13">
      <c r="A36" s="17" t="s">
        <v>26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17" t="s">
        <v>108</v>
      </c>
      <c r="H36" s="17" t="s">
        <v>108</v>
      </c>
      <c r="I36" s="12">
        <v>0</v>
      </c>
      <c r="J36" s="12"/>
      <c r="K36" s="12"/>
      <c r="L36" s="5"/>
      <c r="M36" s="17" t="s">
        <v>109</v>
      </c>
    </row>
    <row r="37" spans="1:13">
      <c r="A37" s="17" t="s">
        <v>60</v>
      </c>
      <c r="B37" s="5">
        <v>0</v>
      </c>
      <c r="C37" s="5">
        <v>0</v>
      </c>
      <c r="D37" s="5">
        <v>0</v>
      </c>
      <c r="E37" s="5">
        <v>0</v>
      </c>
      <c r="F37" s="5">
        <v>0</v>
      </c>
      <c r="G37" s="17" t="s">
        <v>108</v>
      </c>
      <c r="H37" s="17" t="s">
        <v>108</v>
      </c>
      <c r="I37" s="12">
        <v>0</v>
      </c>
      <c r="J37" s="12"/>
      <c r="K37" s="12"/>
      <c r="L37" s="5"/>
      <c r="M37" s="17" t="s">
        <v>109</v>
      </c>
    </row>
    <row r="38" spans="1:13">
      <c r="A38" s="17" t="s">
        <v>27</v>
      </c>
      <c r="B38" s="5">
        <v>0</v>
      </c>
      <c r="C38" s="5">
        <v>0</v>
      </c>
      <c r="D38" s="5">
        <v>0</v>
      </c>
      <c r="E38" s="5">
        <v>0</v>
      </c>
      <c r="F38" s="5">
        <v>0</v>
      </c>
      <c r="G38" s="17" t="s">
        <v>108</v>
      </c>
      <c r="H38" s="17" t="s">
        <v>108</v>
      </c>
      <c r="I38" s="12">
        <v>0</v>
      </c>
      <c r="J38" s="12"/>
      <c r="K38" s="12"/>
      <c r="L38" s="5"/>
      <c r="M38" s="17" t="s">
        <v>109</v>
      </c>
    </row>
    <row r="39" spans="1:13">
      <c r="A39" s="17" t="s">
        <v>61</v>
      </c>
      <c r="B39" s="5">
        <v>0</v>
      </c>
      <c r="C39" s="5">
        <v>0</v>
      </c>
      <c r="D39" s="5">
        <v>0</v>
      </c>
      <c r="E39" s="5">
        <v>0</v>
      </c>
      <c r="F39" s="5">
        <v>0</v>
      </c>
      <c r="G39" s="17" t="s">
        <v>108</v>
      </c>
      <c r="H39" s="17" t="s">
        <v>108</v>
      </c>
      <c r="I39" s="12">
        <v>0</v>
      </c>
      <c r="J39" s="12"/>
      <c r="K39" s="12"/>
      <c r="L39" s="5"/>
      <c r="M39" s="17" t="s">
        <v>109</v>
      </c>
    </row>
    <row r="40" spans="1:13">
      <c r="A40" s="17" t="s">
        <v>28</v>
      </c>
      <c r="B40" s="5">
        <v>0</v>
      </c>
      <c r="C40" s="5">
        <v>0</v>
      </c>
      <c r="D40" s="5">
        <v>0</v>
      </c>
      <c r="E40" s="5">
        <v>0</v>
      </c>
      <c r="F40" s="5">
        <v>0</v>
      </c>
      <c r="G40" s="17" t="s">
        <v>108</v>
      </c>
      <c r="H40" s="17" t="s">
        <v>108</v>
      </c>
      <c r="I40" s="12">
        <v>0</v>
      </c>
      <c r="J40" s="12"/>
      <c r="K40" s="12"/>
      <c r="L40" s="5"/>
      <c r="M40" s="17" t="s">
        <v>109</v>
      </c>
    </row>
    <row r="41" spans="1:13">
      <c r="A41" s="17" t="s">
        <v>62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17" t="s">
        <v>108</v>
      </c>
      <c r="H41" s="17" t="s">
        <v>108</v>
      </c>
      <c r="I41" s="12">
        <v>0</v>
      </c>
      <c r="J41" s="12"/>
      <c r="K41" s="12"/>
      <c r="L41" s="5"/>
      <c r="M41" s="17" t="s">
        <v>109</v>
      </c>
    </row>
    <row r="42" spans="1:13">
      <c r="A42" s="17" t="s">
        <v>29</v>
      </c>
      <c r="B42" s="5">
        <v>0</v>
      </c>
      <c r="C42" s="5">
        <v>0</v>
      </c>
      <c r="D42" s="5">
        <v>0</v>
      </c>
      <c r="E42" s="5">
        <v>0</v>
      </c>
      <c r="F42" s="5">
        <v>0</v>
      </c>
      <c r="G42" s="17" t="s">
        <v>108</v>
      </c>
      <c r="H42" s="17" t="s">
        <v>108</v>
      </c>
      <c r="I42" s="12">
        <v>0</v>
      </c>
      <c r="J42" s="12"/>
      <c r="K42" s="12"/>
      <c r="L42" s="5"/>
      <c r="M42" s="17" t="s">
        <v>109</v>
      </c>
    </row>
    <row r="43" spans="1:13">
      <c r="A43" s="17" t="s">
        <v>63</v>
      </c>
      <c r="B43" s="5">
        <v>0</v>
      </c>
      <c r="C43" s="5">
        <v>0</v>
      </c>
      <c r="D43" s="5">
        <v>0</v>
      </c>
      <c r="E43" s="5">
        <v>0</v>
      </c>
      <c r="F43" s="5">
        <v>0</v>
      </c>
      <c r="G43" s="17" t="s">
        <v>108</v>
      </c>
      <c r="H43" s="17" t="s">
        <v>108</v>
      </c>
      <c r="I43" s="12">
        <v>0</v>
      </c>
      <c r="J43" s="12"/>
      <c r="K43" s="12"/>
      <c r="L43" s="5"/>
      <c r="M43" s="17" t="s">
        <v>109</v>
      </c>
    </row>
    <row r="44" spans="1:13">
      <c r="A44" s="17" t="s">
        <v>30</v>
      </c>
      <c r="B44" s="5">
        <v>0</v>
      </c>
      <c r="C44" s="5">
        <v>0</v>
      </c>
      <c r="D44" s="5">
        <v>0</v>
      </c>
      <c r="E44" s="5">
        <v>0</v>
      </c>
      <c r="F44" s="5">
        <v>0</v>
      </c>
      <c r="G44" s="17" t="s">
        <v>108</v>
      </c>
      <c r="H44" s="17" t="s">
        <v>108</v>
      </c>
      <c r="I44" s="12">
        <v>0</v>
      </c>
      <c r="J44" s="12"/>
      <c r="K44" s="12"/>
      <c r="L44" s="5"/>
      <c r="M44" s="17" t="s">
        <v>109</v>
      </c>
    </row>
    <row r="45" spans="1:13">
      <c r="A45" s="17" t="s">
        <v>64</v>
      </c>
      <c r="B45" s="5">
        <v>0</v>
      </c>
      <c r="C45" s="5">
        <v>0</v>
      </c>
      <c r="D45" s="5">
        <v>0</v>
      </c>
      <c r="E45" s="5">
        <v>0</v>
      </c>
      <c r="F45" s="5">
        <v>0</v>
      </c>
      <c r="G45" s="17" t="s">
        <v>108</v>
      </c>
      <c r="H45" s="17" t="s">
        <v>108</v>
      </c>
      <c r="I45" s="12">
        <v>0</v>
      </c>
      <c r="J45" s="12"/>
      <c r="K45" s="12"/>
      <c r="L45" s="5"/>
      <c r="M45" s="17" t="s">
        <v>109</v>
      </c>
    </row>
    <row r="46" spans="1:13">
      <c r="A46" s="17" t="s">
        <v>31</v>
      </c>
      <c r="B46" s="5">
        <v>0</v>
      </c>
      <c r="C46" s="5">
        <v>0</v>
      </c>
      <c r="D46" s="5">
        <v>0</v>
      </c>
      <c r="E46" s="5">
        <v>0</v>
      </c>
      <c r="F46" s="5">
        <v>0</v>
      </c>
      <c r="G46" s="17" t="s">
        <v>108</v>
      </c>
      <c r="H46" s="17" t="s">
        <v>108</v>
      </c>
      <c r="I46" s="12">
        <v>0</v>
      </c>
      <c r="J46" s="12"/>
      <c r="K46" s="12"/>
      <c r="L46" s="5"/>
      <c r="M46" s="17" t="s">
        <v>109</v>
      </c>
    </row>
    <row r="47" spans="1:13">
      <c r="A47" s="17" t="s">
        <v>65</v>
      </c>
      <c r="B47" s="5">
        <v>0</v>
      </c>
      <c r="C47" s="5">
        <v>0</v>
      </c>
      <c r="D47" s="5">
        <v>0</v>
      </c>
      <c r="E47" s="5">
        <v>0</v>
      </c>
      <c r="F47" s="5">
        <v>0</v>
      </c>
      <c r="G47" s="17" t="s">
        <v>108</v>
      </c>
      <c r="H47" s="17" t="s">
        <v>108</v>
      </c>
      <c r="I47" s="12">
        <v>0</v>
      </c>
      <c r="J47" s="12"/>
      <c r="K47" s="12"/>
      <c r="L47" s="5"/>
      <c r="M47" s="17" t="s">
        <v>109</v>
      </c>
    </row>
    <row r="48" spans="1:13">
      <c r="A48" s="17" t="s">
        <v>32</v>
      </c>
      <c r="B48" s="5">
        <v>0</v>
      </c>
      <c r="C48" s="5">
        <v>0</v>
      </c>
      <c r="D48" s="5">
        <v>0</v>
      </c>
      <c r="E48" s="5">
        <v>0</v>
      </c>
      <c r="F48" s="5">
        <v>0</v>
      </c>
      <c r="G48" s="17" t="s">
        <v>108</v>
      </c>
      <c r="H48" s="17" t="s">
        <v>108</v>
      </c>
      <c r="I48" s="12">
        <v>0</v>
      </c>
      <c r="J48" s="12"/>
      <c r="K48" s="12"/>
      <c r="L48" s="5"/>
      <c r="M48" s="17" t="s">
        <v>109</v>
      </c>
    </row>
    <row r="49" spans="1:13">
      <c r="A49" s="17" t="s">
        <v>66</v>
      </c>
      <c r="B49" s="5">
        <v>0</v>
      </c>
      <c r="C49" s="5">
        <v>0</v>
      </c>
      <c r="D49" s="5">
        <v>0</v>
      </c>
      <c r="E49" s="5">
        <v>0</v>
      </c>
      <c r="F49" s="5">
        <v>0</v>
      </c>
      <c r="G49" s="17" t="s">
        <v>108</v>
      </c>
      <c r="H49" s="17" t="s">
        <v>108</v>
      </c>
      <c r="I49" s="12">
        <v>0</v>
      </c>
      <c r="J49" s="12"/>
      <c r="K49" s="12"/>
      <c r="L49" s="5"/>
      <c r="M49" s="17" t="s">
        <v>109</v>
      </c>
    </row>
    <row r="50" spans="1:13">
      <c r="A50" s="17" t="s">
        <v>33</v>
      </c>
      <c r="B50" s="5">
        <v>0</v>
      </c>
      <c r="C50" s="5">
        <v>0</v>
      </c>
      <c r="D50" s="5">
        <v>0</v>
      </c>
      <c r="E50" s="5">
        <v>0</v>
      </c>
      <c r="F50" s="5">
        <v>0</v>
      </c>
      <c r="G50" s="17" t="s">
        <v>108</v>
      </c>
      <c r="H50" s="17" t="s">
        <v>108</v>
      </c>
      <c r="I50" s="12">
        <v>0</v>
      </c>
      <c r="J50" s="12"/>
      <c r="K50" s="12"/>
      <c r="L50" s="5"/>
      <c r="M50" s="17" t="s">
        <v>109</v>
      </c>
    </row>
    <row r="51" spans="1:13">
      <c r="A51" s="17" t="s">
        <v>67</v>
      </c>
      <c r="B51" s="5">
        <v>0</v>
      </c>
      <c r="C51" s="5">
        <v>0</v>
      </c>
      <c r="D51" s="5">
        <v>0</v>
      </c>
      <c r="E51" s="5">
        <v>0</v>
      </c>
      <c r="F51" s="5">
        <v>0</v>
      </c>
      <c r="G51" s="17" t="s">
        <v>108</v>
      </c>
      <c r="H51" s="17" t="s">
        <v>108</v>
      </c>
      <c r="I51" s="12">
        <v>0</v>
      </c>
      <c r="J51" s="12"/>
      <c r="K51" s="12"/>
      <c r="L51" s="5"/>
      <c r="M51" s="17" t="s">
        <v>109</v>
      </c>
    </row>
    <row r="52" spans="1:13">
      <c r="A52" s="17" t="s">
        <v>34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17" t="s">
        <v>108</v>
      </c>
      <c r="H52" s="17" t="s">
        <v>108</v>
      </c>
      <c r="I52" s="12">
        <v>0</v>
      </c>
      <c r="J52" s="12"/>
      <c r="K52" s="12"/>
      <c r="L52" s="5"/>
      <c r="M52" s="17" t="s">
        <v>109</v>
      </c>
    </row>
    <row r="53" spans="1:13">
      <c r="A53" s="17" t="s">
        <v>68</v>
      </c>
      <c r="B53" s="5">
        <v>0</v>
      </c>
      <c r="C53" s="5">
        <v>0</v>
      </c>
      <c r="D53" s="5">
        <v>0</v>
      </c>
      <c r="E53" s="5">
        <v>0</v>
      </c>
      <c r="F53" s="5">
        <v>0</v>
      </c>
      <c r="G53" s="17" t="s">
        <v>108</v>
      </c>
      <c r="H53" s="17" t="s">
        <v>108</v>
      </c>
      <c r="I53" s="12">
        <v>0</v>
      </c>
      <c r="J53" s="12"/>
      <c r="K53" s="12"/>
      <c r="L53" s="5"/>
      <c r="M53" s="17" t="s">
        <v>109</v>
      </c>
    </row>
    <row r="54" spans="1:13">
      <c r="A54" s="17" t="s">
        <v>35</v>
      </c>
      <c r="B54" s="5">
        <v>0</v>
      </c>
      <c r="C54" s="5">
        <v>0</v>
      </c>
      <c r="D54" s="5">
        <v>0</v>
      </c>
      <c r="E54" s="5">
        <v>0</v>
      </c>
      <c r="F54" s="5">
        <v>0</v>
      </c>
      <c r="G54" s="17" t="s">
        <v>108</v>
      </c>
      <c r="H54" s="17" t="s">
        <v>108</v>
      </c>
      <c r="I54" s="12">
        <v>0</v>
      </c>
      <c r="J54" s="12"/>
      <c r="K54" s="12"/>
      <c r="L54" s="5"/>
      <c r="M54" s="17" t="s">
        <v>109</v>
      </c>
    </row>
    <row r="55" spans="1:13">
      <c r="A55" s="17" t="s">
        <v>69</v>
      </c>
      <c r="B55" s="5">
        <v>0</v>
      </c>
      <c r="C55" s="5">
        <v>0</v>
      </c>
      <c r="D55" s="5">
        <v>0</v>
      </c>
      <c r="E55" s="5">
        <v>0</v>
      </c>
      <c r="F55" s="5">
        <v>0</v>
      </c>
      <c r="G55" s="17" t="s">
        <v>108</v>
      </c>
      <c r="H55" s="17" t="s">
        <v>108</v>
      </c>
      <c r="I55" s="12">
        <v>0</v>
      </c>
      <c r="J55" s="12"/>
      <c r="K55" s="12"/>
      <c r="L55" s="5"/>
      <c r="M55" s="17" t="s">
        <v>109</v>
      </c>
    </row>
    <row r="56" spans="1:13">
      <c r="A56" s="17" t="s">
        <v>36</v>
      </c>
      <c r="B56" s="5">
        <v>0</v>
      </c>
      <c r="C56" s="5">
        <v>0</v>
      </c>
      <c r="D56" s="5">
        <v>0</v>
      </c>
      <c r="E56" s="5">
        <v>0</v>
      </c>
      <c r="F56" s="5">
        <v>0</v>
      </c>
      <c r="G56" s="17" t="s">
        <v>108</v>
      </c>
      <c r="H56" s="17" t="s">
        <v>108</v>
      </c>
      <c r="I56" s="12">
        <v>0</v>
      </c>
      <c r="J56" s="12"/>
      <c r="K56" s="12"/>
      <c r="L56" s="5"/>
      <c r="M56" s="17" t="s">
        <v>109</v>
      </c>
    </row>
    <row r="57" spans="1:13">
      <c r="A57" s="17" t="s">
        <v>70</v>
      </c>
      <c r="B57" s="5">
        <v>0</v>
      </c>
      <c r="C57" s="5">
        <v>0</v>
      </c>
      <c r="D57" s="5">
        <v>0</v>
      </c>
      <c r="E57" s="5">
        <v>0</v>
      </c>
      <c r="F57" s="5">
        <v>0</v>
      </c>
      <c r="G57" s="17" t="s">
        <v>108</v>
      </c>
      <c r="H57" s="17" t="s">
        <v>108</v>
      </c>
      <c r="I57" s="12">
        <v>0</v>
      </c>
      <c r="J57" s="12"/>
      <c r="K57" s="12"/>
      <c r="L57" s="5"/>
      <c r="M57" s="17" t="s">
        <v>109</v>
      </c>
    </row>
  </sheetData>
  <mergeCells count="1">
    <mergeCell ref="A2:H3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计算器</vt:lpstr>
      <vt:lpstr>优化建议_第1轮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2026-04-20T21:40:06Z</dcterms:created>
  <dcterms:modified xsi:type="dcterms:W3CDTF">2026-04-20T21:40:06Z</dcterms:modified>
</cp:coreProperties>
</file>